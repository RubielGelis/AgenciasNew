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" sheetId="1" r:id="rId5"/>
    <sheet state="hidden" name="Hoja1" sheetId="2" r:id="rId6"/>
  </sheets>
  <definedNames/>
  <calcPr/>
</workbook>
</file>

<file path=xl/sharedStrings.xml><?xml version="1.0" encoding="utf-8"?>
<sst xmlns="http://schemas.openxmlformats.org/spreadsheetml/2006/main" count="70" uniqueCount="52">
  <si>
    <t>FORMATO VENTA CON MAYORISTA U OPERADOR</t>
  </si>
  <si>
    <t>Código:</t>
  </si>
  <si>
    <t>FO-ADM-17</t>
  </si>
  <si>
    <t>Versión:</t>
  </si>
  <si>
    <t>Vigencia:</t>
  </si>
  <si>
    <t>Pagina: 1 de 1</t>
  </si>
  <si>
    <t>ASESOR:</t>
  </si>
  <si>
    <t>FECHA:</t>
  </si>
  <si>
    <t>DATOS CLIENTE A FACTURAR</t>
  </si>
  <si>
    <t>TOP TRAVEL</t>
  </si>
  <si>
    <t>SI</t>
  </si>
  <si>
    <t>CLIENTE</t>
  </si>
  <si>
    <t>IDENTIFICACION</t>
  </si>
  <si>
    <t>DIRECCION</t>
  </si>
  <si>
    <t>TELEFONO</t>
  </si>
  <si>
    <t>CENTRO DE COSTO</t>
  </si>
  <si>
    <t>SOLICITA</t>
  </si>
  <si>
    <t>INFORMACION DE VENTA</t>
  </si>
  <si>
    <t>T. CAMBIO</t>
  </si>
  <si>
    <t>DESCRIPCION PLAN</t>
  </si>
  <si>
    <t>FECHAS DE VIAJE</t>
  </si>
  <si>
    <t>HOTELES O SERVICIOS</t>
  </si>
  <si>
    <t>PASAJEROS</t>
  </si>
  <si>
    <t>TOTAL ADULTOS</t>
  </si>
  <si>
    <t>TOTAL NIÑOS</t>
  </si>
  <si>
    <t>INFORMACION PROVEEDOR</t>
  </si>
  <si>
    <t xml:space="preserve">(1)    NOMBRE </t>
  </si>
  <si>
    <t>NIT</t>
  </si>
  <si>
    <t>CONTACTO</t>
  </si>
  <si>
    <t xml:space="preserve">(2)    NOMBRE </t>
  </si>
  <si>
    <t>TIPO DE TARIFA</t>
  </si>
  <si>
    <t>PROVEEDOR (1)</t>
  </si>
  <si>
    <t>PROVEEDOR (2)</t>
  </si>
  <si>
    <t xml:space="preserve">VR COBRADO </t>
  </si>
  <si>
    <t>%</t>
  </si>
  <si>
    <t>PAGO PROVEEDOR</t>
  </si>
  <si>
    <t>TARIFA NETA</t>
  </si>
  <si>
    <t>IMPUESTOS</t>
  </si>
  <si>
    <t>ADICIONALES SERV</t>
  </si>
  <si>
    <t>COMISION</t>
  </si>
  <si>
    <t>DESCUENTO</t>
  </si>
  <si>
    <t>SOBRECOMISION</t>
  </si>
  <si>
    <t>FEE</t>
  </si>
  <si>
    <t xml:space="preserve">FEE </t>
  </si>
  <si>
    <t>TOTAL</t>
  </si>
  <si>
    <t>FACTURA  Y/O REMISION</t>
  </si>
  <si>
    <t>DEPOSITOS / RC</t>
  </si>
  <si>
    <t>BASE COMISIONABLE</t>
  </si>
  <si>
    <t>COMISION ASESOR</t>
  </si>
  <si>
    <t>BASE COMISON TOP</t>
  </si>
  <si>
    <t>NO</t>
  </si>
  <si>
    <t>OBSERVACIONES: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</si>
</sst>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[$-240A]d&quot; de &quot;mmmm&quot; de &quot;yyyy"/>
    <numFmt numFmtId="166" formatCode="&quot;$&quot;\ #,##0;[Red]\-&quot;$&quot;\ #,##0"/>
    <numFmt numFmtId="167" formatCode="_ &quot;$&quot;\ * #,##0_ ;_ &quot;$&quot;\ * \-#,##0_ ;_ &quot;$&quot;\ * &quot;-&quot;_ ;_ @_ "/>
  </numFmts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8.0"/>
      <color theme="1"/>
      <name val="Times New Roman"/>
    </font>
    <font/>
    <font>
      <sz val="11.0"/>
      <color theme="1"/>
      <name val="Arial"/>
    </font>
    <font>
      <sz val="12.0"/>
      <color theme="1"/>
      <name val="Times New Roman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sz val="9.0"/>
      <color theme="1"/>
      <name val="Arial"/>
    </font>
    <font>
      <b/>
      <u/>
      <sz val="11.0"/>
      <color theme="1"/>
      <name val="Arial"/>
    </font>
    <font>
      <b/>
      <sz val="9.0"/>
      <color theme="1"/>
      <name val="Arial"/>
    </font>
    <font>
      <sz val="11.0"/>
      <color rgb="FF3333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1"/>
    </xf>
    <xf borderId="5" fillId="2" fontId="1" numFmtId="0" xfId="0" applyAlignment="1" applyBorder="1" applyFill="1" applyFont="1">
      <alignment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7" fillId="2" fontId="1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bottom" wrapText="1"/>
    </xf>
    <xf borderId="11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6" numFmtId="0" xfId="0" applyAlignment="1" applyBorder="1" applyFont="1">
      <alignment horizontal="center" shrinkToFit="0" vertical="center" wrapText="1"/>
    </xf>
    <xf borderId="12" fillId="0" fontId="6" numFmtId="165" xfId="0" applyAlignment="1" applyBorder="1" applyFont="1" applyNumberFormat="1">
      <alignment horizontal="center" shrinkToFit="0" vertical="center" wrapText="1"/>
    </xf>
    <xf borderId="16" fillId="0" fontId="3" numFmtId="0" xfId="0" applyBorder="1" applyFont="1"/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shrinkToFit="0" vertical="bottom" wrapText="1"/>
    </xf>
    <xf borderId="17" fillId="3" fontId="8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3" fontId="8" numFmtId="0" xfId="0" applyAlignment="1" applyBorder="1" applyFont="1">
      <alignment horizontal="center" shrinkToFit="0" vertical="center" wrapText="1"/>
    </xf>
    <xf borderId="21" fillId="3" fontId="8" numFmtId="0" xfId="0" applyAlignment="1" applyBorder="1" applyFont="1">
      <alignment shrinkToFit="0" vertical="center" wrapText="1"/>
    </xf>
    <xf borderId="22" fillId="3" fontId="4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horizontal="center" shrinkToFit="0" vertical="bottom" wrapText="1"/>
    </xf>
    <xf borderId="1" fillId="3" fontId="4" numFmtId="0" xfId="0" applyAlignment="1" applyBorder="1" applyFont="1">
      <alignment shrinkToFit="0" vertical="bottom" wrapText="1"/>
    </xf>
    <xf borderId="23" fillId="0" fontId="3" numFmtId="0" xfId="0" applyBorder="1" applyFont="1"/>
    <xf borderId="24" fillId="3" fontId="4" numFmtId="0" xfId="0" applyAlignment="1" applyBorder="1" applyFont="1">
      <alignment shrinkToFit="0" vertical="bottom" wrapText="1"/>
    </xf>
    <xf borderId="25" fillId="3" fontId="4" numFmtId="0" xfId="0" applyAlignment="1" applyBorder="1" applyFont="1">
      <alignment shrinkToFit="0" vertical="bottom" wrapText="1"/>
    </xf>
    <xf borderId="11" fillId="3" fontId="4" numFmtId="0" xfId="0" applyAlignment="1" applyBorder="1" applyFont="1">
      <alignment shrinkToFit="0" vertical="bottom" wrapText="1"/>
    </xf>
    <xf borderId="12" fillId="0" fontId="7" numFmtId="0" xfId="0" applyAlignment="1" applyBorder="1" applyFont="1">
      <alignment horizontal="center" shrinkToFit="0" vertical="bottom" wrapText="1"/>
    </xf>
    <xf borderId="15" fillId="3" fontId="4" numFmtId="0" xfId="0" applyAlignment="1" applyBorder="1" applyFont="1">
      <alignment shrinkToFit="0" vertical="bottom" wrapText="1"/>
    </xf>
    <xf borderId="17" fillId="3" fontId="8" numFmtId="0" xfId="0" applyAlignment="1" applyBorder="1" applyFont="1">
      <alignment horizontal="center" shrinkToFit="0" vertical="bottom" wrapText="1"/>
    </xf>
    <xf borderId="20" fillId="3" fontId="8" numFmtId="0" xfId="0" applyAlignment="1" applyBorder="1" applyFont="1">
      <alignment horizontal="left" shrinkToFit="0" vertical="bottom" wrapText="1"/>
    </xf>
    <xf borderId="20" fillId="0" fontId="8" numFmtId="0" xfId="0" applyAlignment="1" applyBorder="1" applyFont="1">
      <alignment horizontal="center" shrinkToFit="0" vertical="bottom" wrapText="1"/>
    </xf>
    <xf borderId="26" fillId="0" fontId="3" numFmtId="0" xfId="0" applyBorder="1" applyFont="1"/>
    <xf borderId="0" fillId="0" fontId="8" numFmtId="0" xfId="0" applyAlignment="1" applyFont="1">
      <alignment shrinkToFit="0" vertical="bottom" wrapText="1"/>
    </xf>
    <xf borderId="27" fillId="3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horizontal="center" shrinkToFit="0" vertical="bottom" wrapText="1"/>
    </xf>
    <xf borderId="27" fillId="3" fontId="9" numFmtId="0" xfId="0" applyAlignment="1" applyBorder="1" applyFont="1">
      <alignment shrinkToFit="0" vertical="bottom" wrapText="1"/>
    </xf>
    <xf borderId="2" fillId="0" fontId="9" numFmtId="0" xfId="0" applyAlignment="1" applyBorder="1" applyFont="1">
      <alignment horizontal="center" shrinkToFit="0" vertical="bottom" wrapText="1"/>
    </xf>
    <xf borderId="28" fillId="3" fontId="4" numFmtId="0" xfId="0" applyAlignment="1" applyBorder="1" applyFont="1">
      <alignment horizontal="left" shrinkToFit="0" vertical="center" wrapText="1"/>
    </xf>
    <xf borderId="29" fillId="0" fontId="3" numFmtId="0" xfId="0" applyBorder="1" applyFont="1"/>
    <xf borderId="15" fillId="3" fontId="4" numFmtId="0" xfId="0" applyAlignment="1" applyBorder="1" applyFont="1">
      <alignment horizontal="center" shrinkToFit="0" vertical="bottom" wrapText="1"/>
    </xf>
    <xf borderId="17" fillId="3" fontId="8" numFmtId="0" xfId="0" applyAlignment="1" applyBorder="1" applyFont="1">
      <alignment horizontal="left" shrinkToFit="0" vertical="center" wrapText="1"/>
    </xf>
    <xf borderId="22" fillId="3" fontId="7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bottom" wrapText="1"/>
    </xf>
    <xf borderId="30" fillId="3" fontId="10" numFmtId="0" xfId="0" applyAlignment="1" applyBorder="1" applyFont="1">
      <alignment horizontal="center" shrinkToFit="0" vertical="center" wrapText="1"/>
    </xf>
    <xf borderId="31" fillId="3" fontId="11" numFmtId="0" xfId="0" applyAlignment="1" applyBorder="1" applyFont="1">
      <alignment shrinkToFit="0" vertical="center" wrapText="1"/>
    </xf>
    <xf borderId="32" fillId="0" fontId="3" numFmtId="0" xfId="0" applyBorder="1" applyFont="1"/>
    <xf borderId="1" fillId="3" fontId="8" numFmtId="0" xfId="0" applyAlignment="1" applyBorder="1" applyFont="1">
      <alignment horizontal="center" shrinkToFit="0" vertical="center" wrapText="1"/>
    </xf>
    <xf borderId="33" fillId="3" fontId="8" numFmtId="0" xfId="0" applyAlignment="1" applyBorder="1" applyFont="1">
      <alignment horizontal="center" shrinkToFit="0" vertical="center" wrapText="1"/>
    </xf>
    <xf borderId="22" fillId="3" fontId="8" numFmtId="0" xfId="0" applyAlignment="1" applyBorder="1" applyFont="1">
      <alignment shrinkToFit="0" vertical="bottom" wrapText="1"/>
    </xf>
    <xf borderId="1" fillId="0" fontId="4" numFmtId="166" xfId="0" applyAlignment="1" applyBorder="1" applyFont="1" applyNumberFormat="1">
      <alignment horizontal="right" shrinkToFit="0" vertical="bottom" wrapText="1"/>
    </xf>
    <xf borderId="1" fillId="0" fontId="11" numFmtId="3" xfId="0" applyAlignment="1" applyBorder="1" applyFont="1" applyNumberFormat="1">
      <alignment horizontal="center" shrinkToFit="0" vertical="bottom" wrapText="1"/>
    </xf>
    <xf borderId="33" fillId="0" fontId="4" numFmtId="3" xfId="0" applyAlignment="1" applyBorder="1" applyFont="1" applyNumberFormat="1">
      <alignment horizontal="right" shrinkToFit="0" vertical="bottom" wrapText="1"/>
    </xf>
    <xf borderId="1" fillId="0" fontId="12" numFmtId="166" xfId="0" applyAlignment="1" applyBorder="1" applyFont="1" applyNumberFormat="1">
      <alignment horizontal="right" shrinkToFit="0" vertical="bottom" wrapText="1"/>
    </xf>
    <xf borderId="1" fillId="3" fontId="4" numFmtId="166" xfId="0" applyAlignment="1" applyBorder="1" applyFont="1" applyNumberFormat="1">
      <alignment horizontal="right" shrinkToFit="0" vertical="bottom" wrapText="1"/>
    </xf>
    <xf borderId="1" fillId="3" fontId="9" numFmtId="3" xfId="0" applyAlignment="1" applyBorder="1" applyFont="1" applyNumberFormat="1">
      <alignment horizontal="center" shrinkToFit="0" vertical="bottom" wrapText="1"/>
    </xf>
    <xf borderId="33" fillId="3" fontId="4" numFmtId="3" xfId="0" applyAlignment="1" applyBorder="1" applyFont="1" applyNumberFormat="1">
      <alignment horizontal="right" shrinkToFit="0" vertical="bottom" wrapText="1"/>
    </xf>
    <xf borderId="22" fillId="3" fontId="11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28" fillId="3" fontId="8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bottom" wrapText="1"/>
    </xf>
    <xf borderId="12" fillId="0" fontId="4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horizontal="center" shrinkToFit="0" vertical="center" wrapText="1"/>
    </xf>
    <xf borderId="1" fillId="0" fontId="8" numFmtId="166" xfId="0" applyAlignment="1" applyBorder="1" applyFont="1" applyNumberFormat="1">
      <alignment horizontal="right" shrinkToFit="0" vertical="center" wrapText="1"/>
    </xf>
    <xf borderId="0" fillId="0" fontId="8" numFmtId="167" xfId="0" applyAlignment="1" applyFont="1" applyNumberFormat="1">
      <alignment shrinkToFit="0" vertical="center" wrapText="1"/>
    </xf>
    <xf borderId="1" fillId="0" fontId="8" numFmtId="166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3" xfId="0" applyAlignment="1" applyFont="1" applyNumberForma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0"/>
    </xf>
    <xf borderId="34" fillId="3" fontId="8" numFmtId="0" xfId="0" applyAlignment="1" applyBorder="1" applyFont="1">
      <alignment horizontal="center" shrinkToFit="0" vertical="center" wrapText="1"/>
    </xf>
    <xf borderId="35" fillId="0" fontId="8" numFmtId="0" xfId="0" applyAlignment="1" applyBorder="1" applyFont="1">
      <alignment horizontal="center" shrinkToFit="0" vertical="top" wrapText="1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10" fillId="0" fontId="3" numFmtId="0" xfId="0" applyBorder="1" applyFont="1"/>
    <xf borderId="43" fillId="0" fontId="3" numFmtId="0" xfId="0" applyBorder="1" applyFont="1"/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123825</xdr:rowOff>
    </xdr:from>
    <xdr:ext cx="1047750" cy="46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88"/>
    <col customWidth="1" min="2" max="2" width="18.25"/>
    <col customWidth="1" min="3" max="3" width="4.38"/>
    <col customWidth="1" min="4" max="4" width="14.75"/>
    <col customWidth="1" min="5" max="5" width="2.75"/>
    <col customWidth="1" min="6" max="6" width="21.88"/>
    <col customWidth="1" min="7" max="7" width="15.38"/>
    <col customWidth="1" min="8" max="8" width="3.25"/>
    <col customWidth="1" min="9" max="9" width="14.75"/>
    <col customWidth="1" min="10" max="26" width="10.0"/>
  </cols>
  <sheetData>
    <row r="1" ht="72.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 t="s">
        <v>1</v>
      </c>
      <c r="B2" s="7" t="s">
        <v>2</v>
      </c>
      <c r="C2" s="8" t="s">
        <v>3</v>
      </c>
      <c r="D2" s="9"/>
      <c r="E2" s="7">
        <v>1.0</v>
      </c>
      <c r="F2" s="10" t="s">
        <v>4</v>
      </c>
      <c r="G2" s="11">
        <v>45584.0</v>
      </c>
      <c r="H2" s="12" t="s">
        <v>5</v>
      </c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.0" customHeight="1">
      <c r="A3" s="13"/>
      <c r="B3" s="13"/>
      <c r="C3" s="13"/>
      <c r="D3" s="13"/>
      <c r="E3" s="13"/>
      <c r="F3" s="13"/>
      <c r="G3" s="13"/>
      <c r="H3" s="13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14" t="s">
        <v>6</v>
      </c>
      <c r="B4" s="15"/>
      <c r="C4" s="16"/>
      <c r="D4" s="16"/>
      <c r="E4" s="17"/>
      <c r="F4" s="18" t="s">
        <v>7</v>
      </c>
      <c r="G4" s="19">
        <f>TODAY()</f>
        <v>46193</v>
      </c>
      <c r="H4" s="16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1.25" customHeight="1">
      <c r="A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9.5" customHeight="1">
      <c r="A6" s="24" t="s">
        <v>8</v>
      </c>
      <c r="B6" s="25"/>
      <c r="C6" s="25"/>
      <c r="D6" s="25"/>
      <c r="E6" s="25"/>
      <c r="F6" s="26"/>
      <c r="G6" s="27" t="s">
        <v>9</v>
      </c>
      <c r="H6" s="26"/>
      <c r="I6" s="28" t="s">
        <v>10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29" t="s">
        <v>11</v>
      </c>
      <c r="B7" s="30"/>
      <c r="C7" s="3"/>
      <c r="D7" s="3"/>
      <c r="E7" s="4"/>
      <c r="F7" s="31" t="s">
        <v>12</v>
      </c>
      <c r="G7" s="30"/>
      <c r="H7" s="3"/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9.5" customHeight="1">
      <c r="A8" s="33" t="s">
        <v>13</v>
      </c>
      <c r="B8" s="30"/>
      <c r="C8" s="3"/>
      <c r="D8" s="3"/>
      <c r="E8" s="4"/>
      <c r="F8" s="34" t="s">
        <v>14</v>
      </c>
      <c r="G8" s="30"/>
      <c r="H8" s="3"/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9.5" customHeight="1">
      <c r="A9" s="35" t="s">
        <v>15</v>
      </c>
      <c r="B9" s="36"/>
      <c r="C9" s="16"/>
      <c r="D9" s="16"/>
      <c r="E9" s="17"/>
      <c r="F9" s="37" t="s">
        <v>16</v>
      </c>
      <c r="G9" s="36"/>
      <c r="H9" s="16"/>
      <c r="I9" s="20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9.75" customHeight="1">
      <c r="A10" s="22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9.5" customHeight="1">
      <c r="A11" s="38" t="s">
        <v>17</v>
      </c>
      <c r="B11" s="25"/>
      <c r="C11" s="25"/>
      <c r="D11" s="25"/>
      <c r="E11" s="26"/>
      <c r="F11" s="39" t="s">
        <v>18</v>
      </c>
      <c r="G11" s="26"/>
      <c r="H11" s="40"/>
      <c r="I11" s="41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9.5" customHeight="1">
      <c r="A12" s="43" t="s">
        <v>19</v>
      </c>
      <c r="B12" s="30"/>
      <c r="C12" s="3"/>
      <c r="D12" s="3"/>
      <c r="E12" s="4"/>
      <c r="F12" s="44" t="s">
        <v>20</v>
      </c>
      <c r="G12" s="30"/>
      <c r="H12" s="3"/>
      <c r="I12" s="32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9.5" customHeight="1">
      <c r="A13" s="45" t="s">
        <v>21</v>
      </c>
      <c r="B13" s="46"/>
      <c r="C13" s="3"/>
      <c r="D13" s="3"/>
      <c r="E13" s="3"/>
      <c r="F13" s="3"/>
      <c r="G13" s="3"/>
      <c r="H13" s="3"/>
      <c r="I13" s="3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20.25" customHeight="1">
      <c r="A14" s="47" t="s">
        <v>22</v>
      </c>
      <c r="B14" s="46"/>
      <c r="C14" s="3"/>
      <c r="D14" s="3"/>
      <c r="E14" s="3"/>
      <c r="F14" s="3"/>
      <c r="G14" s="3"/>
      <c r="H14" s="3"/>
      <c r="I14" s="3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9.5" customHeight="1">
      <c r="A15" s="48"/>
      <c r="B15" s="49" t="s">
        <v>23</v>
      </c>
      <c r="C15" s="36"/>
      <c r="D15" s="16"/>
      <c r="E15" s="17"/>
      <c r="F15" s="49" t="s">
        <v>24</v>
      </c>
      <c r="G15" s="36"/>
      <c r="H15" s="16"/>
      <c r="I15" s="20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8.25" customHeight="1">
      <c r="A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9.5" customHeight="1">
      <c r="A17" s="50" t="s">
        <v>25</v>
      </c>
      <c r="B17" s="25"/>
      <c r="C17" s="25"/>
      <c r="D17" s="25"/>
      <c r="E17" s="25"/>
      <c r="F17" s="25"/>
      <c r="G17" s="25"/>
      <c r="H17" s="25"/>
      <c r="I17" s="4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51" t="s">
        <v>26</v>
      </c>
      <c r="B18" s="52"/>
      <c r="C18" s="4"/>
      <c r="D18" s="53" t="s">
        <v>27</v>
      </c>
      <c r="E18" s="54"/>
      <c r="F18" s="4"/>
      <c r="G18" s="53" t="s">
        <v>28</v>
      </c>
      <c r="H18" s="54"/>
      <c r="I18" s="32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9.5" customHeight="1">
      <c r="A19" s="51" t="s">
        <v>29</v>
      </c>
      <c r="B19" s="52"/>
      <c r="C19" s="4"/>
      <c r="D19" s="53" t="s">
        <v>27</v>
      </c>
      <c r="E19" s="54"/>
      <c r="F19" s="4"/>
      <c r="G19" s="53" t="s">
        <v>28</v>
      </c>
      <c r="H19" s="54"/>
      <c r="I19" s="32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2.75" customHeight="1">
      <c r="A20" s="5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57" t="s">
        <v>30</v>
      </c>
      <c r="B21" s="58" t="s">
        <v>31</v>
      </c>
      <c r="C21" s="27" t="str">
        <f>B18</f>
        <v/>
      </c>
      <c r="D21" s="41"/>
      <c r="E21" s="5"/>
      <c r="F21" s="57" t="s">
        <v>30</v>
      </c>
      <c r="G21" s="58" t="s">
        <v>32</v>
      </c>
      <c r="H21" s="27" t="str">
        <f>B19</f>
        <v/>
      </c>
      <c r="I21" s="4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4.5" customHeight="1">
      <c r="A22" s="59"/>
      <c r="B22" s="60" t="s">
        <v>33</v>
      </c>
      <c r="C22" s="60" t="s">
        <v>34</v>
      </c>
      <c r="D22" s="61" t="s">
        <v>35</v>
      </c>
      <c r="E22" s="5"/>
      <c r="F22" s="59"/>
      <c r="G22" s="60" t="s">
        <v>33</v>
      </c>
      <c r="H22" s="60" t="s">
        <v>34</v>
      </c>
      <c r="I22" s="61" t="s">
        <v>35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62" t="s">
        <v>36</v>
      </c>
      <c r="B23" s="63"/>
      <c r="C23" s="64"/>
      <c r="D23" s="65"/>
      <c r="E23" s="5"/>
      <c r="F23" s="62" t="s">
        <v>36</v>
      </c>
      <c r="G23" s="63"/>
      <c r="H23" s="64"/>
      <c r="I23" s="6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62" t="s">
        <v>37</v>
      </c>
      <c r="B24" s="66"/>
      <c r="C24" s="64"/>
      <c r="D24" s="65"/>
      <c r="E24" s="5"/>
      <c r="F24" s="62" t="s">
        <v>37</v>
      </c>
      <c r="G24" s="66"/>
      <c r="H24" s="64"/>
      <c r="I24" s="6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62" t="s">
        <v>38</v>
      </c>
      <c r="B25" s="66"/>
      <c r="C25" s="64"/>
      <c r="D25" s="65"/>
      <c r="E25" s="5"/>
      <c r="F25" s="62" t="s">
        <v>38</v>
      </c>
      <c r="G25" s="66"/>
      <c r="H25" s="64"/>
      <c r="I25" s="6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62" t="s">
        <v>39</v>
      </c>
      <c r="B26" s="66"/>
      <c r="C26" s="64"/>
      <c r="D26" s="65"/>
      <c r="E26" s="5"/>
      <c r="F26" s="62" t="s">
        <v>39</v>
      </c>
      <c r="G26" s="66">
        <f>+G23*(H26%)</f>
        <v>0</v>
      </c>
      <c r="H26" s="64"/>
      <c r="I26" s="6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62" t="s">
        <v>40</v>
      </c>
      <c r="B27" s="66"/>
      <c r="C27" s="64"/>
      <c r="D27" s="65"/>
      <c r="E27" s="5"/>
      <c r="F27" s="62" t="s">
        <v>40</v>
      </c>
      <c r="G27" s="66"/>
      <c r="H27" s="64"/>
      <c r="I27" s="6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62" t="s">
        <v>41</v>
      </c>
      <c r="B28" s="63"/>
      <c r="C28" s="64"/>
      <c r="D28" s="65"/>
      <c r="E28" s="5"/>
      <c r="F28" s="62" t="s">
        <v>41</v>
      </c>
      <c r="G28" s="63"/>
      <c r="H28" s="64"/>
      <c r="I28" s="6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62" t="s">
        <v>42</v>
      </c>
      <c r="B29" s="66"/>
      <c r="C29" s="64"/>
      <c r="D29" s="65"/>
      <c r="E29" s="5"/>
      <c r="F29" s="62" t="s">
        <v>43</v>
      </c>
      <c r="G29" s="66">
        <f>+(G23+G24+G25+G27)*(H29%)</f>
        <v>0</v>
      </c>
      <c r="H29" s="64"/>
      <c r="I29" s="6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62" t="s">
        <v>44</v>
      </c>
      <c r="B30" s="67">
        <f>SUM(B23:B29)-B26</f>
        <v>0</v>
      </c>
      <c r="C30" s="68"/>
      <c r="D30" s="69"/>
      <c r="E30" s="5"/>
      <c r="F30" s="62" t="s">
        <v>44</v>
      </c>
      <c r="G30" s="67">
        <f>SUM(G23:G29)-G26</f>
        <v>0</v>
      </c>
      <c r="H30" s="68"/>
      <c r="I30" s="6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70" t="s">
        <v>45</v>
      </c>
      <c r="B31" s="71"/>
      <c r="C31" s="3"/>
      <c r="D31" s="32"/>
      <c r="E31" s="72"/>
      <c r="F31" s="70" t="s">
        <v>45</v>
      </c>
      <c r="G31" s="71"/>
      <c r="H31" s="3"/>
      <c r="I31" s="3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9.5" customHeight="1">
      <c r="A32" s="73" t="s">
        <v>46</v>
      </c>
      <c r="B32" s="74"/>
      <c r="C32" s="3"/>
      <c r="D32" s="32"/>
      <c r="E32" s="5"/>
      <c r="F32" s="73" t="s">
        <v>46</v>
      </c>
      <c r="G32" s="74"/>
      <c r="H32" s="3"/>
      <c r="I32" s="3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48"/>
      <c r="B33" s="75"/>
      <c r="C33" s="16"/>
      <c r="D33" s="20"/>
      <c r="E33" s="5"/>
      <c r="F33" s="48"/>
      <c r="G33" s="75"/>
      <c r="H33" s="16"/>
      <c r="I33" s="2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76"/>
      <c r="B34" s="56"/>
      <c r="C34" s="56"/>
      <c r="D34" s="56"/>
      <c r="E34" s="5"/>
      <c r="F34" s="76"/>
      <c r="G34" s="56"/>
      <c r="H34" s="56"/>
      <c r="I34" s="5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0.0" customHeight="1">
      <c r="A35" s="60" t="s">
        <v>47</v>
      </c>
      <c r="B35" s="77">
        <f>+(B26+(B28/1.19)+(B27/1.19))+(G26+(G28/1.19)+(G27/1.19))</f>
        <v>0</v>
      </c>
      <c r="C35" s="78"/>
      <c r="D35" s="78"/>
      <c r="E35" s="78"/>
      <c r="F35" s="78"/>
      <c r="G35" s="78"/>
      <c r="H35" s="78"/>
      <c r="I35" s="78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60" t="s">
        <v>48</v>
      </c>
      <c r="B36" s="77">
        <f>+B35*10%</f>
        <v>0</v>
      </c>
      <c r="C36" s="78"/>
      <c r="D36" s="78"/>
      <c r="E36" s="78"/>
      <c r="F36" s="78"/>
      <c r="G36" s="78"/>
      <c r="H36" s="78"/>
      <c r="I36" s="7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0.0" customHeight="1">
      <c r="A37" s="60" t="s">
        <v>49</v>
      </c>
      <c r="B37" s="79">
        <f>IF((I6="SI"),B35-B36,"NO APLICA")</f>
        <v>0</v>
      </c>
      <c r="C37" s="80"/>
      <c r="D37" s="78"/>
      <c r="E37" s="78"/>
      <c r="F37" s="78"/>
      <c r="G37" s="78"/>
      <c r="H37" s="78"/>
      <c r="I37" s="78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42"/>
      <c r="B38" s="81"/>
      <c r="D38" s="82"/>
      <c r="E38" s="5"/>
      <c r="F38" s="5"/>
      <c r="G38" s="5"/>
      <c r="H38" s="82"/>
      <c r="I38" s="8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hidden="1" customHeight="1">
      <c r="A39" s="42"/>
      <c r="B39" s="81"/>
      <c r="D39" s="5"/>
      <c r="E39" s="5"/>
      <c r="F39" s="5"/>
      <c r="G39" s="5" t="s">
        <v>10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hidden="1" customHeight="1">
      <c r="A40" s="42"/>
      <c r="B40" s="81"/>
      <c r="D40" s="5"/>
      <c r="E40" s="5"/>
      <c r="F40" s="5"/>
      <c r="G40" s="5" t="s">
        <v>50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2"/>
      <c r="B41" s="8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83" t="s">
        <v>51</v>
      </c>
      <c r="B42" s="84"/>
      <c r="C42" s="85"/>
      <c r="D42" s="85"/>
      <c r="E42" s="85"/>
      <c r="F42" s="85"/>
      <c r="G42" s="85"/>
      <c r="H42" s="85"/>
      <c r="I42" s="8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87"/>
      <c r="B43" s="88"/>
      <c r="I43" s="89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87"/>
      <c r="B44" s="88"/>
      <c r="I44" s="89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90"/>
      <c r="B45" s="91"/>
      <c r="C45" s="92"/>
      <c r="D45" s="92"/>
      <c r="E45" s="92"/>
      <c r="F45" s="92"/>
      <c r="G45" s="92"/>
      <c r="H45" s="92"/>
      <c r="I45" s="9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2">
    <mergeCell ref="A16:I16"/>
    <mergeCell ref="A17:I17"/>
    <mergeCell ref="B18:C18"/>
    <mergeCell ref="E18:F18"/>
    <mergeCell ref="H18:I18"/>
    <mergeCell ref="B19:C19"/>
    <mergeCell ref="E19:F19"/>
    <mergeCell ref="H19:I19"/>
    <mergeCell ref="A20:I20"/>
    <mergeCell ref="A21:A22"/>
    <mergeCell ref="C21:D21"/>
    <mergeCell ref="F21:F22"/>
    <mergeCell ref="H21:I21"/>
    <mergeCell ref="G31:I31"/>
    <mergeCell ref="B1:I1"/>
    <mergeCell ref="C2:D2"/>
    <mergeCell ref="H2:I2"/>
    <mergeCell ref="B4:E4"/>
    <mergeCell ref="G4:I4"/>
    <mergeCell ref="A5:I5"/>
    <mergeCell ref="G6:H6"/>
    <mergeCell ref="A6:F6"/>
    <mergeCell ref="B7:E7"/>
    <mergeCell ref="G7:I7"/>
    <mergeCell ref="B8:E8"/>
    <mergeCell ref="G8:I8"/>
    <mergeCell ref="B9:E9"/>
    <mergeCell ref="G9:I9"/>
    <mergeCell ref="B13:I13"/>
    <mergeCell ref="B14:I14"/>
    <mergeCell ref="C15:E15"/>
    <mergeCell ref="G15:I15"/>
    <mergeCell ref="A10:I10"/>
    <mergeCell ref="A11:E11"/>
    <mergeCell ref="F11:G11"/>
    <mergeCell ref="H11:I11"/>
    <mergeCell ref="B12:E12"/>
    <mergeCell ref="G12:I12"/>
    <mergeCell ref="A14:A15"/>
    <mergeCell ref="G32:I32"/>
    <mergeCell ref="G33:I33"/>
    <mergeCell ref="B40:C40"/>
    <mergeCell ref="B41:C41"/>
    <mergeCell ref="A42:A45"/>
    <mergeCell ref="B42:I45"/>
    <mergeCell ref="B31:D31"/>
    <mergeCell ref="A32:A33"/>
    <mergeCell ref="B32:D32"/>
    <mergeCell ref="F32:F33"/>
    <mergeCell ref="B33:D33"/>
    <mergeCell ref="B38:C38"/>
    <mergeCell ref="B39:C39"/>
  </mergeCells>
  <dataValidations>
    <dataValidation type="decimal" operator="greaterThan" allowBlank="1" showInputMessage="1" showErrorMessage="1" prompt=" - " sqref="C23:C30 H23:H30">
      <formula1>0.0</formula1>
    </dataValidation>
    <dataValidation type="decimal" allowBlank="1" showInputMessage="1" showErrorMessage="1" prompt="** ERROR ** - SOLO SE PERMITEN NUMEROS" sqref="D23:D30 I23:I30">
      <formula1>0.0</formula1>
      <formula2>1.0E25</formula2>
    </dataValidation>
    <dataValidation type="list" allowBlank="1" showInputMessage="1" showErrorMessage="1" prompt=" - " sqref="I6">
      <formula1>$G$39:$G$40</formula1>
    </dataValidation>
    <dataValidation type="decimal" operator="greaterThan" allowBlank="1" showInputMessage="1" showErrorMessage="1" prompt="OJO: - INGRESE SOLO VALORES NUMERICOS" sqref="B23:B29 G23:G29">
      <formula1>-1.0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>
      <c r="A1" s="94" t="s">
        <v>10</v>
      </c>
    </row>
    <row r="2" ht="12.75" customHeight="1">
      <c r="A2" s="94" t="s">
        <v>50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