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" sheetId="1" r:id="rId5"/>
    <sheet state="hidden" name="Hoja1" sheetId="2" r:id="rId6"/>
  </sheets>
  <definedNames/>
  <calcPr/>
</workbook>
</file>

<file path=xl/sharedStrings.xml><?xml version="1.0" encoding="utf-8"?>
<sst xmlns="http://schemas.openxmlformats.org/spreadsheetml/2006/main" count="71" uniqueCount="53">
  <si>
    <t>FORMATO VENTA CON MAYORISTA U OPERADOR</t>
  </si>
  <si>
    <t>Código:</t>
  </si>
  <si>
    <t>FO-ADM-17</t>
  </si>
  <si>
    <t>Versión:</t>
  </si>
  <si>
    <t>Vigencia:</t>
  </si>
  <si>
    <t>Pagina: 1 de 1</t>
  </si>
  <si>
    <t>ASESOR:</t>
  </si>
  <si>
    <t>FECHA:</t>
  </si>
  <si>
    <t>DATOS CLIENTE A FACTURAR</t>
  </si>
  <si>
    <t>TOP TRAVEL</t>
  </si>
  <si>
    <t>SI</t>
  </si>
  <si>
    <t>CLIENTE</t>
  </si>
  <si>
    <t>IDENTIFICACION</t>
  </si>
  <si>
    <t>DIRECCION</t>
  </si>
  <si>
    <t>TELEFONO</t>
  </si>
  <si>
    <t>CENTRO DE COSTO</t>
  </si>
  <si>
    <t>SOLICITA</t>
  </si>
  <si>
    <t>INFORMACION DE VENTA</t>
  </si>
  <si>
    <t>T. CAMBIO</t>
  </si>
  <si>
    <t>DESCRIPCION PLAN</t>
  </si>
  <si>
    <t>FECHAS DE VIAJE</t>
  </si>
  <si>
    <t>HOTELES O SERVICIOS</t>
  </si>
  <si>
    <t>PASAJEROS</t>
  </si>
  <si>
    <t>TOTAL ADULTOS</t>
  </si>
  <si>
    <t>TOTAL NIÑOS</t>
  </si>
  <si>
    <t>INFORMACION PROVEEDOR</t>
  </si>
  <si>
    <t xml:space="preserve">(1)    NOMBRE </t>
  </si>
  <si>
    <t>NIT</t>
  </si>
  <si>
    <t>CONTACTO</t>
  </si>
  <si>
    <t xml:space="preserve">(2)    NOMBRE </t>
  </si>
  <si>
    <t>TIPO DE TARIFA</t>
  </si>
  <si>
    <t>PROVEEDOR (1)</t>
  </si>
  <si>
    <t>PROVEEDOR (2)</t>
  </si>
  <si>
    <t xml:space="preserve">VR COBRADO </t>
  </si>
  <si>
    <t>%</t>
  </si>
  <si>
    <t>PAGO PROVEEDOR</t>
  </si>
  <si>
    <t>TARIFA NETA</t>
  </si>
  <si>
    <t>IMPUESTOS</t>
  </si>
  <si>
    <t>ADICIONALES SERV</t>
  </si>
  <si>
    <t>COMISION</t>
  </si>
  <si>
    <t>DESCUENTO</t>
  </si>
  <si>
    <t>SOBRECOMISION</t>
  </si>
  <si>
    <t>FEE</t>
  </si>
  <si>
    <t xml:space="preserve">FEE </t>
  </si>
  <si>
    <t>TOTAL</t>
  </si>
  <si>
    <t>FACTURA  Y/O REMISION</t>
  </si>
  <si>
    <t>DEPOSITOS / RC</t>
  </si>
  <si>
    <t>BASE COMISIONABLE</t>
  </si>
  <si>
    <t>RUBIEL GELIS GUZMAN</t>
  </si>
  <si>
    <t>COMISION ASESOR</t>
  </si>
  <si>
    <t>BASE COMISON TOP</t>
  </si>
  <si>
    <t>NO</t>
  </si>
  <si>
    <t>OBSERVACIONES: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</si>
</sst>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-240A]d&quot; de &quot;mmmm&quot; de &quot;yyyy"/>
    <numFmt numFmtId="166" formatCode="&quot;$&quot;\ #,##0;[Red]\-&quot;$&quot;\ #,##0"/>
    <numFmt numFmtId="167" formatCode="_ &quot;$&quot;\ * #,##0_ ;_ &quot;$&quot;\ * \-#,##0_ ;_ &quot;$&quot;\ * &quot;-&quot;_ ;_ @_ "/>
  </numFmts>
  <fonts count="10">
    <font>
      <sz val="10.0"/>
      <color rgb="FF000000"/>
      <name val="Arial"/>
      <scheme val="minor"/>
    </font>
    <font>
      <b/>
      <sz val="8.0"/>
      <color theme="1"/>
      <name val="Arial"/>
    </font>
    <font/>
    <font>
      <sz val="11.0"/>
      <color theme="1"/>
      <name val="Arial"/>
    </font>
    <font>
      <b/>
      <sz val="7.0"/>
      <color theme="1"/>
      <name val="Arial"/>
    </font>
    <font>
      <sz val="7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u/>
      <sz val="7.0"/>
      <color theme="1"/>
      <name val="Arial"/>
    </font>
    <font>
      <sz val="7.0"/>
      <color rgb="FF3333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bottom" wrapText="0"/>
    </xf>
    <xf borderId="5" fillId="2" fontId="4" numFmtId="0" xfId="0" applyAlignment="1" applyBorder="1" applyFill="1" applyFont="1">
      <alignment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7" fillId="2" fontId="4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5" fillId="2" fontId="4" numFmtId="0" xfId="0" applyAlignment="1" applyBorder="1" applyFont="1">
      <alignment horizontal="center" shrinkToFit="0" vertical="center" wrapText="0"/>
    </xf>
    <xf borderId="9" fillId="0" fontId="5" numFmtId="164" xfId="0" applyAlignment="1" applyBorder="1" applyFont="1" applyNumberForma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10" fillId="0" fontId="5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15" fillId="0" fontId="4" numFmtId="0" xfId="0" applyAlignment="1" applyBorder="1" applyFont="1">
      <alignment horizontal="center" shrinkToFit="0" vertical="center" wrapText="0"/>
    </xf>
    <xf borderId="12" fillId="0" fontId="4" numFmtId="165" xfId="0" applyAlignment="1" applyBorder="1" applyFont="1" applyNumberFormat="1">
      <alignment horizontal="center" shrinkToFit="0" vertical="center" wrapText="0"/>
    </xf>
    <xf borderId="16" fillId="0" fontId="2" numFmtId="0" xfId="0" applyBorder="1" applyFont="1"/>
    <xf borderId="0" fillId="0" fontId="6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17" fillId="3" fontId="4" numFmtId="0" xfId="0" applyAlignment="1" applyBorder="1" applyFill="1" applyFont="1">
      <alignment horizontal="center" shrinkToFit="0" vertical="center" wrapText="0"/>
    </xf>
    <xf borderId="18" fillId="0" fontId="2" numFmtId="0" xfId="0" applyBorder="1" applyFont="1"/>
    <xf borderId="19" fillId="0" fontId="2" numFmtId="0" xfId="0" applyBorder="1" applyFont="1"/>
    <xf borderId="20" fillId="3" fontId="4" numFmtId="0" xfId="0" applyAlignment="1" applyBorder="1" applyFont="1">
      <alignment horizontal="center" shrinkToFit="0" vertical="center" wrapText="0"/>
    </xf>
    <xf borderId="21" fillId="3" fontId="4" numFmtId="0" xfId="0" applyAlignment="1" applyBorder="1" applyFont="1">
      <alignment shrinkToFit="0" vertical="center" wrapText="0"/>
    </xf>
    <xf borderId="22" fillId="3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shrinkToFit="0" vertical="bottom" wrapText="0"/>
    </xf>
    <xf borderId="23" fillId="0" fontId="2" numFmtId="0" xfId="0" applyBorder="1" applyFont="1"/>
    <xf borderId="24" fillId="3" fontId="5" numFmtId="0" xfId="0" applyAlignment="1" applyBorder="1" applyFont="1">
      <alignment shrinkToFit="0" vertical="bottom" wrapText="0"/>
    </xf>
    <xf borderId="25" fillId="3" fontId="5" numFmtId="0" xfId="0" applyAlignment="1" applyBorder="1" applyFont="1">
      <alignment shrinkToFit="0" vertical="bottom" wrapText="0"/>
    </xf>
    <xf borderId="11" fillId="3" fontId="5" numFmtId="0" xfId="0" applyAlignment="1" applyBorder="1" applyFont="1">
      <alignment shrinkToFit="0" vertical="bottom" wrapText="0"/>
    </xf>
    <xf borderId="12" fillId="0" fontId="5" numFmtId="0" xfId="0" applyAlignment="1" applyBorder="1" applyFont="1">
      <alignment horizontal="center" shrinkToFit="0" vertical="bottom" wrapText="0"/>
    </xf>
    <xf borderId="15" fillId="3" fontId="5" numFmtId="0" xfId="0" applyAlignment="1" applyBorder="1" applyFont="1">
      <alignment shrinkToFit="0" vertical="bottom" wrapText="0"/>
    </xf>
    <xf borderId="17" fillId="3" fontId="4" numFmtId="0" xfId="0" applyAlignment="1" applyBorder="1" applyFont="1">
      <alignment horizontal="center" shrinkToFit="0" vertical="bottom" wrapText="0"/>
    </xf>
    <xf borderId="20" fillId="3" fontId="4" numFmtId="0" xfId="0" applyAlignment="1" applyBorder="1" applyFont="1">
      <alignment horizontal="left" shrinkToFit="0" vertical="bottom" wrapText="0"/>
    </xf>
    <xf borderId="20" fillId="0" fontId="4" numFmtId="0" xfId="0" applyAlignment="1" applyBorder="1" applyFont="1">
      <alignment horizontal="center" shrinkToFit="0" vertical="bottom" wrapText="0"/>
    </xf>
    <xf borderId="26" fillId="0" fontId="2" numFmtId="0" xfId="0" applyBorder="1" applyFont="1"/>
    <xf borderId="0" fillId="0" fontId="7" numFmtId="0" xfId="0" applyAlignment="1" applyFont="1">
      <alignment shrinkToFit="0" vertical="bottom" wrapText="0"/>
    </xf>
    <xf borderId="27" fillId="3" fontId="5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28" fillId="3" fontId="5" numFmtId="0" xfId="0" applyAlignment="1" applyBorder="1" applyFont="1">
      <alignment horizontal="left" shrinkToFit="0" vertical="center" wrapText="0"/>
    </xf>
    <xf borderId="29" fillId="0" fontId="2" numFmtId="0" xfId="0" applyBorder="1" applyFont="1"/>
    <xf borderId="15" fillId="3" fontId="5" numFmtId="0" xfId="0" applyAlignment="1" applyBorder="1" applyFont="1">
      <alignment horizontal="center" shrinkToFit="0" vertical="bottom" wrapText="0"/>
    </xf>
    <xf borderId="17" fillId="3" fontId="4" numFmtId="0" xfId="0" applyAlignment="1" applyBorder="1" applyFont="1">
      <alignment horizontal="left" shrinkToFit="0" vertical="center" wrapText="0"/>
    </xf>
    <xf borderId="22" fillId="3" fontId="5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30" fillId="3" fontId="8" numFmtId="0" xfId="0" applyAlignment="1" applyBorder="1" applyFont="1">
      <alignment horizontal="center" shrinkToFit="0" vertical="center" wrapText="0"/>
    </xf>
    <xf borderId="31" fillId="3" fontId="4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32" fillId="0" fontId="2" numFmtId="0" xfId="0" applyBorder="1" applyFont="1"/>
    <xf borderId="1" fillId="3" fontId="4" numFmtId="0" xfId="0" applyAlignment="1" applyBorder="1" applyFont="1">
      <alignment horizontal="center" shrinkToFit="0" vertical="center" wrapText="0"/>
    </xf>
    <xf borderId="33" fillId="3" fontId="4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shrinkToFit="0" vertical="bottom" wrapText="0"/>
    </xf>
    <xf borderId="1" fillId="0" fontId="5" numFmtId="166" xfId="0" applyAlignment="1" applyBorder="1" applyFont="1" applyNumberFormat="1">
      <alignment horizontal="right" shrinkToFit="0" vertical="bottom" wrapText="0"/>
    </xf>
    <xf borderId="1" fillId="0" fontId="4" numFmtId="3" xfId="0" applyAlignment="1" applyBorder="1" applyFont="1" applyNumberFormat="1">
      <alignment horizontal="center" shrinkToFit="0" vertical="bottom" wrapText="0"/>
    </xf>
    <xf borderId="33" fillId="0" fontId="5" numFmtId="3" xfId="0" applyAlignment="1" applyBorder="1" applyFont="1" applyNumberFormat="1">
      <alignment horizontal="right" shrinkToFit="0" vertical="bottom" wrapText="0"/>
    </xf>
    <xf borderId="1" fillId="0" fontId="9" numFmtId="166" xfId="0" applyAlignment="1" applyBorder="1" applyFont="1" applyNumberFormat="1">
      <alignment horizontal="right" shrinkToFit="0" vertical="bottom" wrapText="0"/>
    </xf>
    <xf borderId="1" fillId="3" fontId="5" numFmtId="166" xfId="0" applyAlignment="1" applyBorder="1" applyFont="1" applyNumberFormat="1">
      <alignment horizontal="right" shrinkToFit="0" vertical="bottom" wrapText="0"/>
    </xf>
    <xf borderId="1" fillId="3" fontId="5" numFmtId="3" xfId="0" applyAlignment="1" applyBorder="1" applyFont="1" applyNumberFormat="1">
      <alignment horizontal="center" shrinkToFit="0" vertical="bottom" wrapText="0"/>
    </xf>
    <xf borderId="33" fillId="3" fontId="5" numFmtId="3" xfId="0" applyAlignment="1" applyBorder="1" applyFont="1" applyNumberFormat="1">
      <alignment horizontal="right" shrinkToFit="0" vertical="bottom" wrapText="0"/>
    </xf>
    <xf borderId="22" fillId="3" fontId="4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28" fillId="3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4" numFmtId="166" xfId="0" applyAlignment="1" applyBorder="1" applyFont="1" applyNumberFormat="1">
      <alignment horizontal="right" shrinkToFit="0" vertical="center" wrapText="0"/>
    </xf>
    <xf borderId="0" fillId="0" fontId="4" numFmtId="167" xfId="0" applyAlignment="1" applyFont="1" applyNumberFormat="1">
      <alignment shrinkToFit="0" vertical="center" wrapText="0"/>
    </xf>
    <xf borderId="34" fillId="4" fontId="4" numFmtId="167" xfId="0" applyAlignment="1" applyBorder="1" applyFill="1" applyFont="1" applyNumberForma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3" xfId="0" applyAlignment="1" applyFont="1" applyNumberFormat="1">
      <alignment horizontal="center" shrinkToFit="0" vertical="bottom" wrapText="0"/>
    </xf>
    <xf borderId="35" fillId="3" fontId="4" numFmtId="0" xfId="0" applyAlignment="1" applyBorder="1" applyFont="1">
      <alignment horizontal="center" shrinkToFit="0" vertical="center" wrapText="0"/>
    </xf>
    <xf borderId="36" fillId="0" fontId="4" numFmtId="0" xfId="0" applyAlignment="1" applyBorder="1" applyFont="1">
      <alignment horizontal="center" shrinkToFit="0" vertical="top" wrapText="0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10" fillId="0" fontId="2" numFmtId="0" xfId="0" applyBorder="1" applyFont="1"/>
    <xf borderId="4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25"/>
    <col customWidth="1" min="2" max="2" width="11.0"/>
    <col customWidth="1" min="3" max="3" width="9.5"/>
    <col customWidth="1" min="4" max="4" width="9.63"/>
    <col customWidth="1" min="5" max="5" width="4.0"/>
    <col customWidth="1" min="6" max="7" width="10.13"/>
    <col customWidth="1" min="8" max="8" width="9.25"/>
    <col customWidth="1" min="9" max="9" width="9.5"/>
    <col customWidth="1" min="10" max="26" width="8.0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1</v>
      </c>
      <c r="B2" s="7" t="s">
        <v>2</v>
      </c>
      <c r="C2" s="8" t="s">
        <v>3</v>
      </c>
      <c r="D2" s="9"/>
      <c r="E2" s="7">
        <v>2.0</v>
      </c>
      <c r="F2" s="10" t="s">
        <v>4</v>
      </c>
      <c r="G2" s="11">
        <v>45584.0</v>
      </c>
      <c r="H2" s="12" t="s">
        <v>5</v>
      </c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6.0" customHeight="1">
      <c r="A3" s="13"/>
      <c r="B3" s="13"/>
      <c r="C3" s="13"/>
      <c r="D3" s="13"/>
      <c r="E3" s="13"/>
      <c r="F3" s="13"/>
      <c r="G3" s="13"/>
      <c r="H3" s="13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4" t="s">
        <v>6</v>
      </c>
      <c r="B4" s="15"/>
      <c r="C4" s="16"/>
      <c r="D4" s="16"/>
      <c r="E4" s="17"/>
      <c r="F4" s="18" t="s">
        <v>7</v>
      </c>
      <c r="G4" s="19">
        <f>TODAY()</f>
        <v>46193</v>
      </c>
      <c r="H4" s="16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7.5" customHeight="1">
      <c r="A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2.75" customHeight="1">
      <c r="A6" s="24" t="s">
        <v>8</v>
      </c>
      <c r="B6" s="25"/>
      <c r="C6" s="25"/>
      <c r="D6" s="25"/>
      <c r="E6" s="25"/>
      <c r="F6" s="26"/>
      <c r="G6" s="27" t="s">
        <v>9</v>
      </c>
      <c r="H6" s="26"/>
      <c r="I6" s="28" t="s">
        <v>10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29" t="s">
        <v>11</v>
      </c>
      <c r="B7" s="30"/>
      <c r="C7" s="3"/>
      <c r="D7" s="3"/>
      <c r="E7" s="4"/>
      <c r="F7" s="31" t="s">
        <v>12</v>
      </c>
      <c r="G7" s="30"/>
      <c r="H7" s="3"/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2.75" customHeight="1">
      <c r="A8" s="33" t="s">
        <v>13</v>
      </c>
      <c r="B8" s="30"/>
      <c r="C8" s="3"/>
      <c r="D8" s="3"/>
      <c r="E8" s="4"/>
      <c r="F8" s="34" t="s">
        <v>14</v>
      </c>
      <c r="G8" s="30"/>
      <c r="H8" s="3"/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2.75" customHeight="1">
      <c r="A9" s="35" t="s">
        <v>15</v>
      </c>
      <c r="B9" s="36"/>
      <c r="C9" s="16"/>
      <c r="D9" s="16"/>
      <c r="E9" s="17"/>
      <c r="F9" s="37" t="s">
        <v>16</v>
      </c>
      <c r="G9" s="36"/>
      <c r="H9" s="16"/>
      <c r="I9" s="20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6.75" customHeight="1">
      <c r="A10" s="2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2.75" customHeight="1">
      <c r="A11" s="38" t="s">
        <v>17</v>
      </c>
      <c r="B11" s="25"/>
      <c r="C11" s="25"/>
      <c r="D11" s="25"/>
      <c r="E11" s="26"/>
      <c r="F11" s="39" t="s">
        <v>18</v>
      </c>
      <c r="G11" s="26"/>
      <c r="H11" s="40"/>
      <c r="I11" s="41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2.75" customHeight="1">
      <c r="A12" s="43" t="s">
        <v>19</v>
      </c>
      <c r="B12" s="30"/>
      <c r="C12" s="3"/>
      <c r="D12" s="3"/>
      <c r="E12" s="4"/>
      <c r="F12" s="44" t="s">
        <v>20</v>
      </c>
      <c r="G12" s="30"/>
      <c r="H12" s="3"/>
      <c r="I12" s="3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.75" customHeight="1">
      <c r="A13" s="43" t="s">
        <v>21</v>
      </c>
      <c r="B13" s="30"/>
      <c r="C13" s="3"/>
      <c r="D13" s="3"/>
      <c r="E13" s="3"/>
      <c r="F13" s="3"/>
      <c r="G13" s="3"/>
      <c r="H13" s="3"/>
      <c r="I13" s="3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2.75" customHeight="1">
      <c r="A14" s="45" t="s">
        <v>22</v>
      </c>
      <c r="B14" s="30"/>
      <c r="C14" s="3"/>
      <c r="D14" s="3"/>
      <c r="E14" s="3"/>
      <c r="F14" s="3"/>
      <c r="G14" s="3"/>
      <c r="H14" s="3"/>
      <c r="I14" s="3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46"/>
      <c r="B15" s="47" t="s">
        <v>23</v>
      </c>
      <c r="C15" s="36"/>
      <c r="D15" s="16"/>
      <c r="E15" s="17"/>
      <c r="F15" s="47" t="s">
        <v>24</v>
      </c>
      <c r="G15" s="36"/>
      <c r="H15" s="16"/>
      <c r="I15" s="20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7.5" customHeight="1">
      <c r="A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2.75" customHeight="1">
      <c r="A17" s="48" t="s">
        <v>25</v>
      </c>
      <c r="B17" s="25"/>
      <c r="C17" s="25"/>
      <c r="D17" s="25"/>
      <c r="E17" s="25"/>
      <c r="F17" s="25"/>
      <c r="G17" s="25"/>
      <c r="H17" s="25"/>
      <c r="I17" s="4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49" t="s">
        <v>26</v>
      </c>
      <c r="B18" s="50"/>
      <c r="C18" s="4"/>
      <c r="D18" s="51" t="s">
        <v>27</v>
      </c>
      <c r="E18" s="50"/>
      <c r="F18" s="4"/>
      <c r="G18" s="51" t="s">
        <v>28</v>
      </c>
      <c r="H18" s="50"/>
      <c r="I18" s="3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2.75" customHeight="1">
      <c r="A19" s="49" t="s">
        <v>29</v>
      </c>
      <c r="B19" s="50"/>
      <c r="C19" s="4"/>
      <c r="D19" s="51" t="s">
        <v>27</v>
      </c>
      <c r="E19" s="50"/>
      <c r="F19" s="4"/>
      <c r="G19" s="51" t="s">
        <v>28</v>
      </c>
      <c r="H19" s="50"/>
      <c r="I19" s="3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6.0" customHeight="1">
      <c r="A20" s="2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3" t="s">
        <v>30</v>
      </c>
      <c r="B21" s="54" t="s">
        <v>31</v>
      </c>
      <c r="C21" s="27" t="str">
        <f>B18</f>
        <v/>
      </c>
      <c r="D21" s="41"/>
      <c r="E21" s="55"/>
      <c r="F21" s="53" t="s">
        <v>30</v>
      </c>
      <c r="G21" s="54" t="s">
        <v>32</v>
      </c>
      <c r="H21" s="27" t="str">
        <f>B19</f>
        <v/>
      </c>
      <c r="I21" s="4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7.0" customHeight="1">
      <c r="A22" s="56"/>
      <c r="B22" s="57" t="s">
        <v>33</v>
      </c>
      <c r="C22" s="57" t="s">
        <v>34</v>
      </c>
      <c r="D22" s="58" t="s">
        <v>35</v>
      </c>
      <c r="E22" s="55"/>
      <c r="F22" s="56"/>
      <c r="G22" s="57" t="s">
        <v>33</v>
      </c>
      <c r="H22" s="57" t="s">
        <v>34</v>
      </c>
      <c r="I22" s="58" t="s">
        <v>35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9" t="s">
        <v>36</v>
      </c>
      <c r="B23" s="60"/>
      <c r="C23" s="61"/>
      <c r="D23" s="62"/>
      <c r="E23" s="55"/>
      <c r="F23" s="59" t="s">
        <v>36</v>
      </c>
      <c r="G23" s="60"/>
      <c r="H23" s="61"/>
      <c r="I23" s="6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9" t="s">
        <v>37</v>
      </c>
      <c r="B24" s="63"/>
      <c r="C24" s="61"/>
      <c r="D24" s="62"/>
      <c r="E24" s="55"/>
      <c r="F24" s="59" t="s">
        <v>37</v>
      </c>
      <c r="G24" s="63"/>
      <c r="H24" s="61"/>
      <c r="I24" s="6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9" t="s">
        <v>38</v>
      </c>
      <c r="B25" s="63"/>
      <c r="C25" s="61"/>
      <c r="D25" s="62"/>
      <c r="E25" s="55"/>
      <c r="F25" s="59" t="s">
        <v>38</v>
      </c>
      <c r="G25" s="63"/>
      <c r="H25" s="61"/>
      <c r="I25" s="6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9" t="s">
        <v>39</v>
      </c>
      <c r="B26" s="63"/>
      <c r="C26" s="61"/>
      <c r="D26" s="62"/>
      <c r="E26" s="55"/>
      <c r="F26" s="59" t="s">
        <v>39</v>
      </c>
      <c r="G26" s="63">
        <f>+G23*(H26%)</f>
        <v>0</v>
      </c>
      <c r="H26" s="61"/>
      <c r="I26" s="6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9" t="s">
        <v>40</v>
      </c>
      <c r="B27" s="63"/>
      <c r="C27" s="61"/>
      <c r="D27" s="62"/>
      <c r="E27" s="55"/>
      <c r="F27" s="59" t="s">
        <v>40</v>
      </c>
      <c r="G27" s="63"/>
      <c r="H27" s="61"/>
      <c r="I27" s="6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9" t="s">
        <v>41</v>
      </c>
      <c r="B28" s="60"/>
      <c r="C28" s="61"/>
      <c r="D28" s="62"/>
      <c r="E28" s="55"/>
      <c r="F28" s="59" t="s">
        <v>41</v>
      </c>
      <c r="G28" s="60"/>
      <c r="H28" s="61"/>
      <c r="I28" s="6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9" t="s">
        <v>42</v>
      </c>
      <c r="B29" s="63"/>
      <c r="C29" s="61"/>
      <c r="D29" s="62"/>
      <c r="E29" s="55"/>
      <c r="F29" s="59" t="s">
        <v>43</v>
      </c>
      <c r="G29" s="63">
        <f>+(G23+G24+G25+G27)*(H29%)</f>
        <v>0</v>
      </c>
      <c r="H29" s="61"/>
      <c r="I29" s="6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9" t="s">
        <v>44</v>
      </c>
      <c r="B30" s="64">
        <f>SUM(B23:B29)-B26</f>
        <v>0</v>
      </c>
      <c r="C30" s="65"/>
      <c r="D30" s="66"/>
      <c r="E30" s="55"/>
      <c r="F30" s="59" t="s">
        <v>44</v>
      </c>
      <c r="G30" s="64">
        <f>SUM(G23:G29)-G26</f>
        <v>0</v>
      </c>
      <c r="H30" s="65"/>
      <c r="I30" s="6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67" t="s">
        <v>45</v>
      </c>
      <c r="B31" s="50"/>
      <c r="C31" s="3"/>
      <c r="D31" s="32"/>
      <c r="E31" s="68"/>
      <c r="F31" s="67" t="s">
        <v>45</v>
      </c>
      <c r="G31" s="50"/>
      <c r="H31" s="3"/>
      <c r="I31" s="32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2.75" customHeight="1">
      <c r="A32" s="70" t="s">
        <v>46</v>
      </c>
      <c r="B32" s="30"/>
      <c r="C32" s="3"/>
      <c r="D32" s="32"/>
      <c r="E32" s="55"/>
      <c r="F32" s="70" t="s">
        <v>46</v>
      </c>
      <c r="G32" s="30"/>
      <c r="H32" s="3"/>
      <c r="I32" s="3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46"/>
      <c r="B33" s="36"/>
      <c r="C33" s="16"/>
      <c r="D33" s="20"/>
      <c r="E33" s="55"/>
      <c r="F33" s="46"/>
      <c r="G33" s="36"/>
      <c r="H33" s="16"/>
      <c r="I33" s="2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6.75" customHeight="1">
      <c r="A34" s="71"/>
      <c r="B34" s="22"/>
      <c r="C34" s="22"/>
      <c r="D34" s="22"/>
      <c r="E34" s="55"/>
      <c r="F34" s="71"/>
      <c r="G34" s="22"/>
      <c r="H34" s="22"/>
      <c r="I34" s="2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7" t="s">
        <v>47</v>
      </c>
      <c r="B35" s="72">
        <f>+(B26+(B28/1.19)+(B27/1.19))+(G26+(G28/1.19)+(G27/1.19))</f>
        <v>0</v>
      </c>
      <c r="C35" s="73"/>
      <c r="D35" s="73"/>
      <c r="E35" s="73"/>
      <c r="F35" s="74" t="s">
        <v>48</v>
      </c>
      <c r="G35" s="73"/>
      <c r="H35" s="73"/>
      <c r="I35" s="7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7" t="s">
        <v>49</v>
      </c>
      <c r="B36" s="72">
        <f>+B35*10%</f>
        <v>0</v>
      </c>
      <c r="C36" s="73"/>
      <c r="D36" s="73"/>
      <c r="E36" s="73"/>
      <c r="F36" s="73"/>
      <c r="G36" s="73"/>
      <c r="H36" s="73"/>
      <c r="I36" s="7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7" t="s">
        <v>50</v>
      </c>
      <c r="B37" s="72">
        <f>IF((I6="SI"),B35-B36,"NO APLICA")</f>
        <v>0</v>
      </c>
      <c r="C37" s="55"/>
      <c r="D37" s="73"/>
      <c r="E37" s="73"/>
      <c r="F37" s="73"/>
      <c r="G37" s="73"/>
      <c r="H37" s="73"/>
      <c r="I37" s="7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.5" customHeight="1">
      <c r="A38" s="75"/>
      <c r="B38" s="76"/>
      <c r="D38" s="55"/>
      <c r="E38" s="55"/>
      <c r="F38" s="55"/>
      <c r="G38" s="55"/>
      <c r="H38" s="55"/>
      <c r="I38" s="5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7.5" customHeight="1">
      <c r="A39" s="75"/>
      <c r="B39" s="76"/>
      <c r="D39" s="22"/>
      <c r="E39" s="55"/>
      <c r="F39" s="55"/>
      <c r="G39" s="55"/>
      <c r="H39" s="22"/>
      <c r="I39" s="2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hidden="1" customHeight="1">
      <c r="A40" s="75"/>
      <c r="B40" s="76"/>
      <c r="D40" s="55"/>
      <c r="E40" s="55"/>
      <c r="F40" s="55"/>
      <c r="G40" s="55" t="s">
        <v>10</v>
      </c>
      <c r="H40" s="55"/>
      <c r="I40" s="5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hidden="1" customHeight="1">
      <c r="A41" s="75"/>
      <c r="B41" s="76"/>
      <c r="D41" s="55"/>
      <c r="E41" s="55"/>
      <c r="F41" s="55"/>
      <c r="G41" s="55" t="s">
        <v>51</v>
      </c>
      <c r="H41" s="55"/>
      <c r="I41" s="5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5.25" customHeight="1">
      <c r="A42" s="77" t="s">
        <v>52</v>
      </c>
      <c r="B42" s="78"/>
      <c r="C42" s="79"/>
      <c r="D42" s="79"/>
      <c r="E42" s="79"/>
      <c r="F42" s="79"/>
      <c r="G42" s="79"/>
      <c r="H42" s="79"/>
      <c r="I42" s="8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81"/>
      <c r="B43" s="82"/>
      <c r="I43" s="8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5.25" customHeight="1">
      <c r="A44" s="81"/>
      <c r="B44" s="82"/>
      <c r="I44" s="8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7.5" customHeight="1">
      <c r="A45" s="84"/>
      <c r="B45" s="85"/>
      <c r="C45" s="86"/>
      <c r="D45" s="86"/>
      <c r="E45" s="86"/>
      <c r="F45" s="86"/>
      <c r="G45" s="86"/>
      <c r="H45" s="86"/>
      <c r="I45" s="8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23"/>
      <c r="B46" s="23"/>
      <c r="C46" s="23"/>
      <c r="D46" s="23"/>
      <c r="E46" s="23"/>
      <c r="F46" s="23"/>
      <c r="G46" s="23"/>
      <c r="H46" s="23"/>
      <c r="I46" s="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23"/>
      <c r="B47" s="23"/>
      <c r="C47" s="23"/>
      <c r="D47" s="23"/>
      <c r="E47" s="23"/>
      <c r="F47" s="23"/>
      <c r="G47" s="23"/>
      <c r="H47" s="23"/>
      <c r="I47" s="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23"/>
      <c r="B48" s="23"/>
      <c r="C48" s="23"/>
      <c r="D48" s="23"/>
      <c r="E48" s="23"/>
      <c r="F48" s="23"/>
      <c r="G48" s="23"/>
      <c r="H48" s="23"/>
      <c r="I48" s="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23"/>
      <c r="B49" s="23"/>
      <c r="C49" s="23"/>
      <c r="D49" s="23"/>
      <c r="E49" s="23"/>
      <c r="F49" s="23"/>
      <c r="G49" s="23"/>
      <c r="H49" s="23"/>
      <c r="I49" s="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23"/>
      <c r="B50" s="23"/>
      <c r="C50" s="23"/>
      <c r="D50" s="23"/>
      <c r="E50" s="23"/>
      <c r="F50" s="23"/>
      <c r="G50" s="23"/>
      <c r="H50" s="23"/>
      <c r="I50" s="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23"/>
      <c r="B51" s="23"/>
      <c r="C51" s="23"/>
      <c r="D51" s="23"/>
      <c r="E51" s="23"/>
      <c r="F51" s="23"/>
      <c r="G51" s="23"/>
      <c r="H51" s="23"/>
      <c r="I51" s="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23"/>
      <c r="B52" s="23"/>
      <c r="C52" s="23"/>
      <c r="D52" s="23"/>
      <c r="E52" s="23"/>
      <c r="F52" s="23"/>
      <c r="G52" s="23"/>
      <c r="H52" s="23"/>
      <c r="I52" s="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23"/>
      <c r="B53" s="23"/>
      <c r="C53" s="23"/>
      <c r="D53" s="23"/>
      <c r="E53" s="23"/>
      <c r="F53" s="23"/>
      <c r="G53" s="23"/>
      <c r="H53" s="23"/>
      <c r="I53" s="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23"/>
      <c r="B54" s="23"/>
      <c r="C54" s="23"/>
      <c r="D54" s="23"/>
      <c r="E54" s="23"/>
      <c r="F54" s="23"/>
      <c r="G54" s="23"/>
      <c r="H54" s="23"/>
      <c r="I54" s="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23"/>
      <c r="B55" s="23"/>
      <c r="C55" s="23"/>
      <c r="D55" s="23"/>
      <c r="E55" s="23"/>
      <c r="F55" s="23"/>
      <c r="G55" s="23"/>
      <c r="H55" s="23"/>
      <c r="I55" s="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23"/>
      <c r="B56" s="23"/>
      <c r="C56" s="23"/>
      <c r="D56" s="23"/>
      <c r="E56" s="23"/>
      <c r="F56" s="23"/>
      <c r="G56" s="23"/>
      <c r="H56" s="23"/>
      <c r="I56" s="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23"/>
      <c r="B57" s="23"/>
      <c r="C57" s="23"/>
      <c r="D57" s="23"/>
      <c r="E57" s="23"/>
      <c r="F57" s="23"/>
      <c r="G57" s="23"/>
      <c r="H57" s="23"/>
      <c r="I57" s="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23"/>
      <c r="B58" s="23"/>
      <c r="C58" s="23"/>
      <c r="D58" s="23"/>
      <c r="E58" s="23"/>
      <c r="F58" s="23"/>
      <c r="G58" s="23"/>
      <c r="H58" s="23"/>
      <c r="I58" s="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23"/>
      <c r="B59" s="23"/>
      <c r="C59" s="23"/>
      <c r="D59" s="23"/>
      <c r="E59" s="23"/>
      <c r="F59" s="23"/>
      <c r="G59" s="23"/>
      <c r="H59" s="23"/>
      <c r="I59" s="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23"/>
      <c r="B60" s="23"/>
      <c r="C60" s="23"/>
      <c r="D60" s="23"/>
      <c r="E60" s="23"/>
      <c r="F60" s="23"/>
      <c r="G60" s="23"/>
      <c r="H60" s="23"/>
      <c r="I60" s="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23"/>
      <c r="B61" s="23"/>
      <c r="C61" s="23"/>
      <c r="D61" s="23"/>
      <c r="E61" s="23"/>
      <c r="F61" s="23"/>
      <c r="G61" s="23"/>
      <c r="H61" s="23"/>
      <c r="I61" s="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23"/>
      <c r="B62" s="23"/>
      <c r="C62" s="23"/>
      <c r="D62" s="23"/>
      <c r="E62" s="23"/>
      <c r="F62" s="23"/>
      <c r="G62" s="23"/>
      <c r="H62" s="23"/>
      <c r="I62" s="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23"/>
      <c r="B63" s="23"/>
      <c r="C63" s="23"/>
      <c r="D63" s="23"/>
      <c r="E63" s="23"/>
      <c r="F63" s="23"/>
      <c r="G63" s="23"/>
      <c r="H63" s="23"/>
      <c r="I63" s="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23"/>
      <c r="B64" s="23"/>
      <c r="C64" s="23"/>
      <c r="D64" s="23"/>
      <c r="E64" s="23"/>
      <c r="F64" s="23"/>
      <c r="G64" s="23"/>
      <c r="H64" s="23"/>
      <c r="I64" s="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23"/>
      <c r="B65" s="23"/>
      <c r="C65" s="23"/>
      <c r="D65" s="23"/>
      <c r="E65" s="23"/>
      <c r="F65" s="23"/>
      <c r="G65" s="23"/>
      <c r="H65" s="23"/>
      <c r="I65" s="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23"/>
      <c r="B66" s="23"/>
      <c r="C66" s="23"/>
      <c r="D66" s="23"/>
      <c r="E66" s="23"/>
      <c r="F66" s="23"/>
      <c r="G66" s="23"/>
      <c r="H66" s="23"/>
      <c r="I66" s="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23"/>
      <c r="B67" s="23"/>
      <c r="C67" s="23"/>
      <c r="D67" s="23"/>
      <c r="E67" s="23"/>
      <c r="F67" s="23"/>
      <c r="G67" s="23"/>
      <c r="H67" s="23"/>
      <c r="I67" s="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23"/>
      <c r="B68" s="23"/>
      <c r="C68" s="23"/>
      <c r="D68" s="23"/>
      <c r="E68" s="23"/>
      <c r="F68" s="23"/>
      <c r="G68" s="23"/>
      <c r="H68" s="23"/>
      <c r="I68" s="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23"/>
      <c r="B69" s="23"/>
      <c r="C69" s="23"/>
      <c r="D69" s="23"/>
      <c r="E69" s="23"/>
      <c r="F69" s="23"/>
      <c r="G69" s="23"/>
      <c r="H69" s="23"/>
      <c r="I69" s="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23"/>
      <c r="B70" s="23"/>
      <c r="C70" s="23"/>
      <c r="D70" s="23"/>
      <c r="E70" s="23"/>
      <c r="F70" s="23"/>
      <c r="G70" s="23"/>
      <c r="H70" s="23"/>
      <c r="I70" s="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23"/>
      <c r="B71" s="23"/>
      <c r="C71" s="23"/>
      <c r="D71" s="23"/>
      <c r="E71" s="23"/>
      <c r="F71" s="23"/>
      <c r="G71" s="23"/>
      <c r="H71" s="23"/>
      <c r="I71" s="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23"/>
      <c r="B72" s="23"/>
      <c r="C72" s="23"/>
      <c r="D72" s="23"/>
      <c r="E72" s="23"/>
      <c r="F72" s="23"/>
      <c r="G72" s="23"/>
      <c r="H72" s="23"/>
      <c r="I72" s="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23"/>
      <c r="B73" s="23"/>
      <c r="C73" s="23"/>
      <c r="D73" s="23"/>
      <c r="E73" s="23"/>
      <c r="F73" s="23"/>
      <c r="G73" s="23"/>
      <c r="H73" s="23"/>
      <c r="I73" s="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23"/>
      <c r="B74" s="23"/>
      <c r="C74" s="23"/>
      <c r="D74" s="23"/>
      <c r="E74" s="23"/>
      <c r="F74" s="23"/>
      <c r="G74" s="23"/>
      <c r="H74" s="23"/>
      <c r="I74" s="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23"/>
      <c r="B75" s="23"/>
      <c r="C75" s="23"/>
      <c r="D75" s="23"/>
      <c r="E75" s="23"/>
      <c r="F75" s="23"/>
      <c r="G75" s="23"/>
      <c r="H75" s="23"/>
      <c r="I75" s="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23"/>
      <c r="B76" s="23"/>
      <c r="C76" s="23"/>
      <c r="D76" s="23"/>
      <c r="E76" s="23"/>
      <c r="F76" s="23"/>
      <c r="G76" s="23"/>
      <c r="H76" s="23"/>
      <c r="I76" s="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23"/>
      <c r="B77" s="23"/>
      <c r="C77" s="23"/>
      <c r="D77" s="23"/>
      <c r="E77" s="23"/>
      <c r="F77" s="23"/>
      <c r="G77" s="23"/>
      <c r="H77" s="23"/>
      <c r="I77" s="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23"/>
      <c r="B78" s="23"/>
      <c r="C78" s="23"/>
      <c r="D78" s="23"/>
      <c r="E78" s="23"/>
      <c r="F78" s="23"/>
      <c r="G78" s="23"/>
      <c r="H78" s="23"/>
      <c r="I78" s="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23"/>
      <c r="B79" s="23"/>
      <c r="C79" s="23"/>
      <c r="D79" s="23"/>
      <c r="E79" s="23"/>
      <c r="F79" s="23"/>
      <c r="G79" s="23"/>
      <c r="H79" s="23"/>
      <c r="I79" s="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23"/>
      <c r="B80" s="23"/>
      <c r="C80" s="23"/>
      <c r="D80" s="23"/>
      <c r="E80" s="23"/>
      <c r="F80" s="23"/>
      <c r="G80" s="23"/>
      <c r="H80" s="23"/>
      <c r="I80" s="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23"/>
      <c r="B81" s="23"/>
      <c r="C81" s="23"/>
      <c r="D81" s="23"/>
      <c r="E81" s="23"/>
      <c r="F81" s="23"/>
      <c r="G81" s="23"/>
      <c r="H81" s="23"/>
      <c r="I81" s="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23"/>
      <c r="B82" s="23"/>
      <c r="C82" s="23"/>
      <c r="D82" s="23"/>
      <c r="E82" s="23"/>
      <c r="F82" s="23"/>
      <c r="G82" s="23"/>
      <c r="H82" s="23"/>
      <c r="I82" s="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23"/>
      <c r="B83" s="23"/>
      <c r="C83" s="23"/>
      <c r="D83" s="23"/>
      <c r="E83" s="23"/>
      <c r="F83" s="23"/>
      <c r="G83" s="23"/>
      <c r="H83" s="23"/>
      <c r="I83" s="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23"/>
      <c r="B84" s="23"/>
      <c r="C84" s="23"/>
      <c r="D84" s="23"/>
      <c r="E84" s="23"/>
      <c r="F84" s="23"/>
      <c r="G84" s="23"/>
      <c r="H84" s="23"/>
      <c r="I84" s="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23"/>
      <c r="B85" s="23"/>
      <c r="C85" s="23"/>
      <c r="D85" s="23"/>
      <c r="E85" s="23"/>
      <c r="F85" s="23"/>
      <c r="G85" s="23"/>
      <c r="H85" s="23"/>
      <c r="I85" s="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23"/>
      <c r="B86" s="23"/>
      <c r="C86" s="23"/>
      <c r="D86" s="23"/>
      <c r="E86" s="23"/>
      <c r="F86" s="23"/>
      <c r="G86" s="23"/>
      <c r="H86" s="23"/>
      <c r="I86" s="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23"/>
      <c r="B87" s="23"/>
      <c r="C87" s="23"/>
      <c r="D87" s="23"/>
      <c r="E87" s="23"/>
      <c r="F87" s="23"/>
      <c r="G87" s="23"/>
      <c r="H87" s="23"/>
      <c r="I87" s="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23"/>
      <c r="B88" s="23"/>
      <c r="C88" s="23"/>
      <c r="D88" s="23"/>
      <c r="E88" s="23"/>
      <c r="F88" s="23"/>
      <c r="G88" s="23"/>
      <c r="H88" s="23"/>
      <c r="I88" s="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23"/>
      <c r="B89" s="23"/>
      <c r="C89" s="23"/>
      <c r="D89" s="23"/>
      <c r="E89" s="23"/>
      <c r="F89" s="23"/>
      <c r="G89" s="23"/>
      <c r="H89" s="23"/>
      <c r="I89" s="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23"/>
      <c r="B90" s="23"/>
      <c r="C90" s="23"/>
      <c r="D90" s="23"/>
      <c r="E90" s="23"/>
      <c r="F90" s="23"/>
      <c r="G90" s="23"/>
      <c r="H90" s="23"/>
      <c r="I90" s="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23"/>
      <c r="B91" s="23"/>
      <c r="C91" s="23"/>
      <c r="D91" s="23"/>
      <c r="E91" s="23"/>
      <c r="F91" s="23"/>
      <c r="G91" s="23"/>
      <c r="H91" s="23"/>
      <c r="I91" s="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23"/>
      <c r="B92" s="23"/>
      <c r="C92" s="23"/>
      <c r="D92" s="23"/>
      <c r="E92" s="23"/>
      <c r="F92" s="23"/>
      <c r="G92" s="23"/>
      <c r="H92" s="23"/>
      <c r="I92" s="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23"/>
      <c r="B93" s="23"/>
      <c r="C93" s="23"/>
      <c r="D93" s="23"/>
      <c r="E93" s="23"/>
      <c r="F93" s="23"/>
      <c r="G93" s="23"/>
      <c r="H93" s="23"/>
      <c r="I93" s="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23"/>
      <c r="B94" s="23"/>
      <c r="C94" s="23"/>
      <c r="D94" s="23"/>
      <c r="E94" s="23"/>
      <c r="F94" s="23"/>
      <c r="G94" s="23"/>
      <c r="H94" s="23"/>
      <c r="I94" s="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23"/>
      <c r="B95" s="23"/>
      <c r="C95" s="23"/>
      <c r="D95" s="23"/>
      <c r="E95" s="23"/>
      <c r="F95" s="23"/>
      <c r="G95" s="23"/>
      <c r="H95" s="23"/>
      <c r="I95" s="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23"/>
      <c r="B96" s="23"/>
      <c r="C96" s="23"/>
      <c r="D96" s="23"/>
      <c r="E96" s="23"/>
      <c r="F96" s="23"/>
      <c r="G96" s="23"/>
      <c r="H96" s="23"/>
      <c r="I96" s="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23"/>
      <c r="B97" s="23"/>
      <c r="C97" s="23"/>
      <c r="D97" s="23"/>
      <c r="E97" s="23"/>
      <c r="F97" s="23"/>
      <c r="G97" s="23"/>
      <c r="H97" s="23"/>
      <c r="I97" s="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23"/>
      <c r="B98" s="23"/>
      <c r="C98" s="23"/>
      <c r="D98" s="23"/>
      <c r="E98" s="23"/>
      <c r="F98" s="23"/>
      <c r="G98" s="23"/>
      <c r="H98" s="23"/>
      <c r="I98" s="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23"/>
      <c r="B99" s="23"/>
      <c r="C99" s="23"/>
      <c r="D99" s="23"/>
      <c r="E99" s="23"/>
      <c r="F99" s="23"/>
      <c r="G99" s="23"/>
      <c r="H99" s="23"/>
      <c r="I99" s="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2">
    <mergeCell ref="A16:I16"/>
    <mergeCell ref="A17:I17"/>
    <mergeCell ref="B18:C18"/>
    <mergeCell ref="E18:F18"/>
    <mergeCell ref="H18:I18"/>
    <mergeCell ref="B19:C19"/>
    <mergeCell ref="E19:F19"/>
    <mergeCell ref="H19:I19"/>
    <mergeCell ref="A20:I20"/>
    <mergeCell ref="A21:A22"/>
    <mergeCell ref="C21:D21"/>
    <mergeCell ref="F21:F22"/>
    <mergeCell ref="H21:I21"/>
    <mergeCell ref="G31:I31"/>
    <mergeCell ref="B1:I1"/>
    <mergeCell ref="C2:D2"/>
    <mergeCell ref="H2:I2"/>
    <mergeCell ref="B4:E4"/>
    <mergeCell ref="G4:I4"/>
    <mergeCell ref="A5:I5"/>
    <mergeCell ref="G6:H6"/>
    <mergeCell ref="A6:F6"/>
    <mergeCell ref="B7:E7"/>
    <mergeCell ref="G7:I7"/>
    <mergeCell ref="B8:E8"/>
    <mergeCell ref="G8:I8"/>
    <mergeCell ref="B9:E9"/>
    <mergeCell ref="G9:I9"/>
    <mergeCell ref="B13:I13"/>
    <mergeCell ref="B14:I14"/>
    <mergeCell ref="C15:E15"/>
    <mergeCell ref="G15:I15"/>
    <mergeCell ref="A10:I10"/>
    <mergeCell ref="A11:E11"/>
    <mergeCell ref="F11:G11"/>
    <mergeCell ref="H11:I11"/>
    <mergeCell ref="B12:E12"/>
    <mergeCell ref="G12:I12"/>
    <mergeCell ref="A14:A15"/>
    <mergeCell ref="G32:I32"/>
    <mergeCell ref="G33:I33"/>
    <mergeCell ref="B41:C41"/>
    <mergeCell ref="A42:A45"/>
    <mergeCell ref="B42:I45"/>
    <mergeCell ref="B31:D31"/>
    <mergeCell ref="A32:A33"/>
    <mergeCell ref="B32:D32"/>
    <mergeCell ref="F32:F33"/>
    <mergeCell ref="B33:D33"/>
    <mergeCell ref="B40:C40"/>
    <mergeCell ref="B39:C39"/>
    <mergeCell ref="B38:C38"/>
  </mergeCells>
  <dataValidations>
    <dataValidation type="decimal" operator="greaterThan" allowBlank="1" showInputMessage="1" showErrorMessage="1" prompt=" - " sqref="C23:C30 H23:H30">
      <formula1>0.0</formula1>
    </dataValidation>
    <dataValidation type="list" allowBlank="1" showInputMessage="1" showErrorMessage="1" prompt=" - " sqref="I6">
      <formula1>$G$40:$G$41</formula1>
    </dataValidation>
    <dataValidation type="decimal" allowBlank="1" showInputMessage="1" showErrorMessage="1" prompt="** ERROR ** - SOLO SE PERMITEN NUMEROS" sqref="D23:D30 I23:I30">
      <formula1>0.0</formula1>
      <formula2>1.0E25</formula2>
    </dataValidation>
    <dataValidation type="decimal" operator="greaterThan" allowBlank="1" showInputMessage="1" showErrorMessage="1" prompt="OJO: - INGRESE SOLO VALORES NUMERICOS" sqref="B23:B29 G23:G29">
      <formula1>-1.0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23" t="s">
        <v>10</v>
      </c>
    </row>
    <row r="2" ht="12.75" customHeight="1">
      <c r="A2" s="23" t="s">
        <v>51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