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o" sheetId="1" r:id="rId1"/>
    <sheet name="Hoja1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1">
    <numFmt numFmtId="5" formatCode="&quot;$&quot;\ #,##0;\-&quot;$&quot;\ #,##0"/>
    <numFmt numFmtId="6" formatCode="&quot;$&quot;\ #,##0;[Red]\-&quot;$&quot;\ #,##0"/>
    <numFmt numFmtId="7" formatCode="&quot;$&quot;\ #,##0.00;\-&quot;$&quot;\ #,##0.00"/>
    <numFmt numFmtId="8" formatCode="&quot;$&quot;\ #,##0.00;[Red]\-&quot;$&quot;\ #,##0.00"/>
    <numFmt numFmtId="41" formatCode="_-* #,##0_-;\-* #,##0_-;_-* &quot;-&quot;_-;_-@_-"/>
    <numFmt numFmtId="42" formatCode="_-&quot;$&quot;\ * #,##0_-;\-&quot;$&quot;\ * #,##0_-;_-&quot;$&quot;\ * &quot;-&quot;_-;_-@_-"/>
    <numFmt numFmtId="43" formatCode="_-* #,##0.00_-;\-* #,##0.00_-;_-* &quot;-&quot;??_-;_-@_-"/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_);\(&quot;$&quot;\ #,##0\)"/>
    <numFmt numFmtId="165" formatCode="&quot;$&quot;\ #,##0_);[Red]\(&quot;$&quot;\ #,##0\)"/>
    <numFmt numFmtId="166" formatCode="&quot;$&quot;\ #,##0.00_);\(&quot;$&quot;\ #,##0.00\)"/>
    <numFmt numFmtId="167" formatCode="&quot;$&quot;\ #,##0.00_);[Red]\(&quot;$&quot;\ #,##0.00\)"/>
    <numFmt numFmtId="168" formatCode="_(&quot;$&quot;\ * #,##0_);_(&quot;$&quot;\ * \(#,##0\);_(&quot;$&quot;\ * &quot;-&quot;_);_(@_)"/>
    <numFmt numFmtId="169" formatCode="_(* #,##0_);_(* \(#,##0\);_(* &quot;-&quot;_);_(@_)"/>
    <numFmt numFmtId="170" formatCode="_(&quot;$&quot;\ * #,##0.00_);_(&quot;$&quot;\ * \(#,##0.00\);_(&quot;$&quot;\ * &quot;-&quot;??_);_(@_)"/>
    <numFmt numFmtId="171" formatCode="_(* #,##0.00_);_(* \(#,##0.00\);_(* &quot;-&quot;??_);_(@_)"/>
    <numFmt numFmtId="172" formatCode="&quot;$&quot;\ #,##0;&quot;$&quot;\ \-#,##0"/>
    <numFmt numFmtId="173" formatCode="&quot;$&quot;\ #,##0;[Red]&quot;$&quot;\ \-#,##0"/>
    <numFmt numFmtId="174" formatCode="&quot;$&quot;\ #,##0.00;&quot;$&quot;\ \-#,##0.00"/>
    <numFmt numFmtId="175" formatCode="&quot;$&quot;\ #,##0.00;[Red]&quot;$&quot;\ \-#,##0.00"/>
    <numFmt numFmtId="176" formatCode="_ &quot;$&quot;\ * #,##0_ ;_ &quot;$&quot;\ * \-#,##0_ ;_ &quot;$&quot;\ * &quot;-&quot;_ ;_ @_ "/>
    <numFmt numFmtId="177" formatCode="_ * #,##0_ ;_ * \-#,##0_ ;_ * &quot;-&quot;_ ;_ @_ "/>
    <numFmt numFmtId="178" formatCode="_ &quot;$&quot;\ * #,##0.00_ ;_ &quot;$&quot;\ * \-#,##0.00_ ;_ &quot;$&quot;\ * &quot;-&quot;??_ ;_ @_ "/>
    <numFmt numFmtId="179" formatCode="_ * #,##0.00_ ;_ * \-#,##0.00_ ;_ * &quot;-&quot;??_ ;_ @_ "/>
    <numFmt numFmtId="180" formatCode="&quot;$&quot;\ #,##0"/>
    <numFmt numFmtId="181" formatCode="[$-240A]dddd\,\ dd&quot; de &quot;mmmm&quot; de &quot;yyyy"/>
    <numFmt numFmtId="182" formatCode="dd/mm/yyyy;@"/>
    <numFmt numFmtId="183" formatCode="[$-240A]d&quot; de &quot;mmmm&quot; de &quot;yyyy;@"/>
    <numFmt numFmtId="184" formatCode="0.0000"/>
    <numFmt numFmtId="185" formatCode="0.000"/>
    <numFmt numFmtId="186" formatCode="0.0"/>
    <numFmt numFmtId="187" formatCode="#,##0.000"/>
    <numFmt numFmtId="188" formatCode="#,##0.0000"/>
    <numFmt numFmtId="189" formatCode="#,##0.0"/>
    <numFmt numFmtId="190" formatCode="[$-240A]dddd\,\ d\ &quot;de&quot;\ mmmm\ &quot;de&quot;\ yyyy"/>
    <numFmt numFmtId="191" formatCode="[$-240A]h:mm:ss\ AM/PM"/>
    <numFmt numFmtId="192" formatCode="0.0%"/>
    <numFmt numFmtId="193" formatCode="_ &quot;$&quot;\ * #,##0.0_ ;_ &quot;$&quot;\ * \-#,##0.0_ ;_ &quot;$&quot;\ * &quot;-&quot;??_ ;_ @_ "/>
    <numFmt numFmtId="194" formatCode="_ &quot;$&quot;\ * #,##0_ ;_ &quot;$&quot;\ * \-#,##0_ ;_ &quot;$&quot;\ * &quot;-&quot;??_ ;_ @_ "/>
    <numFmt numFmtId="195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workbookViewId="0" rightToLeft="0"/>
  </sheetViews>
  <sheetData>
    <row r="1" ht="72" customHeight="1">
      <c r="B1" t="str">
        <v>FORMATO VENTA CON MAYORISTA U OPERADOR</v>
      </c>
    </row>
    <row r="2" ht="20.1" customHeight="1">
      <c r="A2" t="str">
        <v>Código:</v>
      </c>
      <c r="B2" t="str">
        <v>FO-ADM-17</v>
      </c>
      <c r="C2" t="str">
        <v>Versión:</v>
      </c>
      <c r="E2">
        <v>1</v>
      </c>
      <c r="F2" t="str">
        <v>Vigencia:</v>
      </c>
      <c r="G2">
        <v>45584</v>
      </c>
      <c r="H2" t="str">
        <v>Pagina: 1 de 1</v>
      </c>
    </row>
    <row r="3" ht="9.6" customHeight="1"/>
    <row r="4" ht="18.75" customHeight="1">
      <c r="A4" t="str">
        <v>ASESOR:</v>
      </c>
      <c r="F4" t="str">
        <v>FECHA:</v>
      </c>
      <c r="G4">
        <f>TODAY()</f>
        <v>46190</v>
      </c>
    </row>
    <row r="5" ht="11.25" customHeight="1"/>
    <row r="6" ht="20.1" customHeight="1">
      <c r="A6" t="str">
        <v>DATOS CLIENTE A FACTURAR</v>
      </c>
      <c r="G6" t="str">
        <v>TOP TRAVEL</v>
      </c>
      <c r="I6" t="str">
        <v>SI</v>
      </c>
    </row>
    <row r="7" ht="20.1" customHeight="1">
      <c r="A7" t="str">
        <v>CLIENTE</v>
      </c>
      <c r="F7" t="str">
        <v>IDENTIFICACION</v>
      </c>
    </row>
    <row r="8" ht="20.1" customHeight="1">
      <c r="A8" t="str">
        <v>DIRECCION</v>
      </c>
      <c r="F8" t="str">
        <v>TELEFONO</v>
      </c>
    </row>
    <row r="9" ht="20.1" customHeight="1">
      <c r="A9" t="str">
        <v>CENTRO DE COSTO</v>
      </c>
      <c r="F9" t="str">
        <v>SOLICITA</v>
      </c>
    </row>
    <row r="10" ht="9.75" customHeight="1"/>
    <row r="11" ht="20.1" customHeight="1">
      <c r="A11" t="str">
        <v>INFORMACION DE VENTA</v>
      </c>
      <c r="F11" t="str">
        <v>T. CAMBIO</v>
      </c>
    </row>
    <row r="12" ht="20.1" customHeight="1">
      <c r="A12" t="str">
        <v>DESCRIPCION PLAN</v>
      </c>
      <c r="F12" t="str">
        <v>FECHAS DE VIAJE</v>
      </c>
    </row>
    <row r="13" ht="20.1" customHeight="1">
      <c r="A13" t="str">
        <v>HOTELES O SERVICIOS</v>
      </c>
    </row>
    <row r="14" ht="20.25" customHeight="1">
      <c r="A14" t="str">
        <v>PASAJEROS</v>
      </c>
    </row>
    <row r="15" ht="20.1" customHeight="1">
      <c r="B15" t="str">
        <v>TOTAL ADULTOS</v>
      </c>
      <c r="F15" t="str">
        <v>TOTAL NIÑOS</v>
      </c>
    </row>
    <row r="16" ht="8.25" customHeight="1"/>
    <row r="17" ht="20.1" customHeight="1">
      <c r="A17" t="str">
        <v>INFORMACION PROVEEDOR</v>
      </c>
    </row>
    <row r="18" ht="20.1" customHeight="1">
      <c r="A18" t="str">
        <v xml:space="preserve">(1)    NOMBRE </v>
      </c>
      <c r="D18" t="str">
        <v>NIT</v>
      </c>
      <c r="G18" t="str">
        <v>CONTACTO</v>
      </c>
    </row>
    <row r="19" ht="20.1" customHeight="1">
      <c r="A19" t="str">
        <v xml:space="preserve">(2)    NOMBRE </v>
      </c>
      <c r="D19" t="str">
        <v>NIT</v>
      </c>
      <c r="G19" t="str">
        <v>CONTACTO</v>
      </c>
    </row>
    <row r="20" ht="12.75" customHeight="1"/>
    <row r="21" ht="20.1" customHeight="1">
      <c r="A21" t="str">
        <v>TIPO DE TARIFA</v>
      </c>
      <c r="B21" t="str">
        <v>PROVEEDOR (1)</v>
      </c>
      <c r="C21">
        <f>B18</f>
        <v>0</v>
      </c>
      <c r="F21" t="str">
        <v>TIPO DE TARIFA</v>
      </c>
      <c r="G21" t="str">
        <v>PROVEEDOR (2)</v>
      </c>
      <c r="H21">
        <f>B19</f>
        <v>0</v>
      </c>
    </row>
    <row r="22" ht="34.5" customHeight="1">
      <c r="B22" t="str">
        <v xml:space="preserve">VR COBRADO </v>
      </c>
      <c r="C22" t="str">
        <v>%</v>
      </c>
      <c r="D22" t="str">
        <v>PAGO PROVEEDOR</v>
      </c>
      <c r="G22" t="str">
        <v xml:space="preserve">VR COBRADO </v>
      </c>
      <c r="H22" t="str">
        <v>%</v>
      </c>
      <c r="I22" t="str">
        <v>PAGO PROVEEDOR</v>
      </c>
    </row>
    <row r="23" ht="20.1" customHeight="1">
      <c r="A23" t="str">
        <v>TARIFA NETA</v>
      </c>
      <c r="F23" t="str">
        <v>TARIFA NETA</v>
      </c>
    </row>
    <row r="24" ht="20.1" customHeight="1">
      <c r="A24" t="str">
        <v>IMPUESTOS</v>
      </c>
      <c r="F24" t="str">
        <v>IMPUESTOS</v>
      </c>
    </row>
    <row r="25" ht="20.1" customHeight="1">
      <c r="A25" t="str">
        <v>ADICIONALES SERV</v>
      </c>
      <c r="F25" t="str">
        <v>ADICIONALES SERV</v>
      </c>
    </row>
    <row r="26" ht="20.1" customHeight="1">
      <c r="A26" t="str">
        <v>COMISION</v>
      </c>
      <c r="F26" t="str">
        <v>COMISION</v>
      </c>
      <c r="G26">
        <f>+G23*(H26%)</f>
        <v>0</v>
      </c>
    </row>
    <row r="27" ht="20.1" customHeight="1">
      <c r="A27" t="str">
        <v>DESCUENTO</v>
      </c>
      <c r="F27" t="str">
        <v>DESCUENTO</v>
      </c>
    </row>
    <row r="28" ht="20.1" customHeight="1">
      <c r="A28" t="str">
        <v>SOBRECOMISION</v>
      </c>
      <c r="F28" t="str">
        <v>SOBRECOMISION</v>
      </c>
    </row>
    <row r="29" ht="20.1" customHeight="1">
      <c r="A29" t="str">
        <v>FEE</v>
      </c>
      <c r="F29" t="str">
        <v xml:space="preserve">FEE </v>
      </c>
      <c r="G29">
        <f>+(G23+G24+G25+G27)*(H29%)</f>
        <v>0</v>
      </c>
    </row>
    <row r="30" ht="20.1" customHeight="1">
      <c r="A30" t="str">
        <v>TOTAL</v>
      </c>
      <c r="B30">
        <f>SUM(B23:B29)-B26</f>
        <v>0</v>
      </c>
      <c r="F30" t="str">
        <v>TOTAL</v>
      </c>
      <c r="G30">
        <f>SUM(G23:G29)-G26</f>
        <v>0</v>
      </c>
    </row>
    <row r="31" ht="20.1" customHeight="1">
      <c r="A31" t="str">
        <v>FACTURA  Y/O REMISION</v>
      </c>
      <c r="F31" t="str">
        <v>FACTURA  Y/O REMISION</v>
      </c>
    </row>
    <row r="32" ht="20.1" customHeight="1">
      <c r="A32" t="str">
        <v>DEPOSITOS / RC</v>
      </c>
      <c r="F32" t="str">
        <v>DEPOSITOS / RC</v>
      </c>
    </row>
    <row r="33" ht="20.1" customHeight="1"/>
    <row r="34" ht="20.1" customHeight="1"/>
    <row r="35">
      <c r="A35" t="str">
        <v>BASE COMISIONABLE</v>
      </c>
      <c r="B35">
        <f>+(B26+(B28/1.19)+(B27/1.19))+(G26+(G28/1.19)+(G27/1.19))</f>
        <v>0</v>
      </c>
    </row>
    <row r="36">
      <c r="A36" t="str">
        <v>COMISION ASESOR</v>
      </c>
      <c r="B36">
        <f>+B35*10%</f>
        <v>0</v>
      </c>
    </row>
    <row r="37">
      <c r="A37" t="str">
        <v>BASE COMISON TOP</v>
      </c>
      <c r="B37">
        <f>IF((I6="SI"),B35-B36,"NO APLICA")</f>
        <v>0</v>
      </c>
    </row>
    <row r="39" hidden="1">
      <c r="G39" t="str">
        <v>SI</v>
      </c>
    </row>
    <row r="40" hidden="1">
      <c r="G40" t="str">
        <v>NO</v>
      </c>
    </row>
    <row r="42" ht="15.75" customHeight="1">
      <c r="A42" t="str">
        <v>OBSERVACIONES:</v>
      </c>
    </row>
    <row r="43" ht="15" customHeight="1"/>
    <row r="44" ht="15" customHeight="1"/>
    <row r="45" ht="15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</sheetData>
  <mergeCells count="52">
    <mergeCell ref="B4:E4"/>
    <mergeCell ref="G4:I4"/>
    <mergeCell ref="A5:I5"/>
    <mergeCell ref="B7:E7"/>
    <mergeCell ref="G7:I7"/>
    <mergeCell ref="A6:F6"/>
    <mergeCell ref="G6:H6"/>
    <mergeCell ref="B8:E8"/>
    <mergeCell ref="G8:I8"/>
    <mergeCell ref="B9:E9"/>
    <mergeCell ref="G9:I9"/>
    <mergeCell ref="A10:I10"/>
    <mergeCell ref="A11:E11"/>
    <mergeCell ref="F11:G11"/>
    <mergeCell ref="H11:I11"/>
    <mergeCell ref="B12:E12"/>
    <mergeCell ref="G12:I12"/>
    <mergeCell ref="B13:I13"/>
    <mergeCell ref="A14:A15"/>
    <mergeCell ref="B14:I14"/>
    <mergeCell ref="C15:E15"/>
    <mergeCell ref="G15:I15"/>
    <mergeCell ref="C21:D21"/>
    <mergeCell ref="H21:I21"/>
    <mergeCell ref="A16:I16"/>
    <mergeCell ref="A17:I17"/>
    <mergeCell ref="B18:C18"/>
    <mergeCell ref="E18:F18"/>
    <mergeCell ref="H18:I18"/>
    <mergeCell ref="B19:C19"/>
    <mergeCell ref="E19:F19"/>
    <mergeCell ref="H19:I19"/>
    <mergeCell ref="B32:D32"/>
    <mergeCell ref="F32:F33"/>
    <mergeCell ref="G32:I32"/>
    <mergeCell ref="B33:D33"/>
    <mergeCell ref="G33:I33"/>
    <mergeCell ref="A20:I20"/>
    <mergeCell ref="A21:A22"/>
    <mergeCell ref="F21:F22"/>
    <mergeCell ref="B31:D31"/>
    <mergeCell ref="G31:I31"/>
    <mergeCell ref="C2:D2"/>
    <mergeCell ref="H2:I2"/>
    <mergeCell ref="B1:I1"/>
    <mergeCell ref="A42:A45"/>
    <mergeCell ref="B38:C38"/>
    <mergeCell ref="B39:C39"/>
    <mergeCell ref="B42:I45"/>
    <mergeCell ref="B40:C40"/>
    <mergeCell ref="B41:C41"/>
    <mergeCell ref="A32:A33"/>
  </mergeCells>
  <pageMargins left="0.1968503937007874" right="0.1968503937007874" top="0.1968503937007874" bottom="0.1968503937007874" header="0" footer="0"/>
  <ignoredErrors>
    <ignoredError numberStoredAsText="1" sqref="A1:I1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SI</v>
      </c>
    </row>
    <row r="2">
      <c r="A2" t="str">
        <v>NO</v>
      </c>
    </row>
  </sheetData>
  <pageMargins left="0.7" right="0.7" top="0.75" bottom="0.75" header="0.3" footer="0.3"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/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2008-10-25T14:33:21Z</dcterms:created>
  <dcterms:modified xsi:type="dcterms:W3CDTF">2026-06-17T16:58:51Z</dcterms:modified>
  <cp:lastModifiedBy>Tatiana Quintero - VELEZTOURS</cp:lastModifiedBy>
  <cp:lastPrinted>2025-09-02T17:02:31Z</cp:lastPrinted>
  <dc:creator>MARIA DEL CARMEN</dc:creator>
</cp:coreProperties>
</file>